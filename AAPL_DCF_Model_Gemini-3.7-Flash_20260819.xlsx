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CC" sheetId="1" state="visible" r:id="rId1"/>
    <sheet xmlns:r="http://schemas.openxmlformats.org/officeDocument/2006/relationships" name="D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;($#,##0.00);&quot;-&quot;"/>
    <numFmt numFmtId="166" formatCode="#,##0.0;(#,##0.0);&quot;-&quot;"/>
    <numFmt numFmtId="167" formatCode="$#,##0;($#,##0);&quot;-&quot;"/>
    <numFmt numFmtId="168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  <font>
      <name val="Calibri"/>
      <b val="1"/>
      <color rgb="00000000"/>
      <sz val="11"/>
    </font>
    <font>
      <name val="Calibri"/>
      <color rgb="00008000"/>
      <sz val="11"/>
    </font>
    <font>
      <name val="Calibri"/>
      <b val="1"/>
      <color rgb="00000000"/>
      <sz val="10"/>
    </font>
    <font>
      <name val="Calibri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10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0" fontId="6" fillId="0" borderId="1" pivotButton="0" quotePrefix="0" xfId="0"/>
    <xf numFmtId="10" fontId="6" fillId="0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164" fontId="4" fillId="0" borderId="1" pivotButton="0" quotePrefix="0" xfId="0"/>
    <xf numFmtId="10" fontId="4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10" fontId="6" fillId="4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7" fontId="5" fillId="0" borderId="1" pivotButton="0" quotePrefix="0" xfId="0"/>
    <xf numFmtId="167" fontId="0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167" fontId="6" fillId="5" borderId="1" pivotButton="0" quotePrefix="0" xfId="0"/>
    <xf numFmtId="167" fontId="6" fillId="0" borderId="1" pivotButton="0" quotePrefix="0" xfId="0"/>
    <xf numFmtId="166" fontId="5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center" vertical="center"/>
    </xf>
    <xf numFmtId="10" fontId="8" fillId="4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Treasury 10Y Yield, 2026-08-19</t>
      </text>
    </comment>
    <comment ref="B6" authorId="0" shapeId="0">
      <text>
        <t>Source: Market Data 5Y monthly beta vs S&amp;P 500</t>
      </text>
    </comment>
    <comment ref="B7" authorId="0" shapeId="0">
      <text>
        <t>Source: Investment Banking Benchmark / Damodaran 2026</t>
      </text>
    </comment>
    <comment ref="B10" authorId="0" shapeId="0">
      <text>
        <t>Source: S&amp;P / Moody's Credit Rating for Apple Inc.</t>
      </text>
    </comment>
    <comment ref="B11" authorId="0" shapeId="0">
      <text>
        <t>Source: AAPL Corporate Bond Yields, 2026</t>
      </text>
    </comment>
    <comment ref="B29" authorId="0" shapeId="0">
      <text>
        <t>Source: Institutional Equity Research Normalized WACC (7.80%)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4" authorId="0" shapeId="0">
      <text>
        <t>Source: Case Selector: 1=Bear, 2=Base, 3=Bull</t>
      </text>
    </comment>
    <comment ref="C8" authorId="0" shapeId="0">
      <text>
        <t>Source: Market Close Price, 2026-08-19</t>
      </text>
    </comment>
    <comment ref="C9" authorId="0" shapeId="0">
      <text>
        <t>Source: Apple Inc. Form 10-K / Latest 10-Q</t>
      </text>
    </comment>
    <comment ref="C10" authorId="0" shapeId="0">
      <text>
        <t>Source: Apple Inc. Balance Sheet (Cash + Current &amp; Non-Current Marketable Sec.)</t>
      </text>
    </comment>
    <comment ref="C11" authorId="0" shapeId="0">
      <text>
        <t>Source: Apple Inc. Balance Sheet (Current + Non-Current Term Debt)</t>
      </text>
    </comment>
    <comment ref="C12" authorId="0" shapeId="0">
      <text>
        <t>Source: Historical Normalized Effective Tax Rate</t>
      </text>
    </comment>
    <comment ref="F19" authorId="0" shapeId="0">
      <text>
        <t>Source: Bear Case - Macro headwinds &amp; hardware slowdown</t>
      </text>
    </comment>
    <comment ref="F20" authorId="0" shapeId="0">
      <text>
        <t>Source: Bear Case - Margin compression from competitive pricing</t>
      </text>
    </comment>
    <comment ref="F21" authorId="0" shapeId="0">
      <text>
        <t>Source: Historical D&amp;A run-rate</t>
      </text>
    </comment>
    <comment ref="F22" authorId="0" shapeId="0">
      <text>
        <t>Source: Historical CapEx run-rate</t>
      </text>
    </comment>
    <comment ref="F23" authorId="0" shapeId="0">
      <text>
        <t>Source: Working capital requirement</t>
      </text>
    </comment>
    <comment ref="F24" authorId="0" shapeId="0">
      <text>
        <t>Source: Bear Case WACC (8.50%)</t>
      </text>
    </comment>
    <comment ref="K25" authorId="0" shapeId="0">
      <text>
        <t>Source: Conservative GDP growth (2.0%)</t>
      </text>
    </comment>
    <comment ref="F29" authorId="0" shapeId="0">
      <text>
        <t>Source: Base Case - Apple Intelligence upgrade cycle &amp; Services growth</t>
      </text>
    </comment>
    <comment ref="F30" authorId="0" shapeId="0">
      <text>
        <t>Source: Base Case - High-margin Services mix expansion</t>
      </text>
    </comment>
    <comment ref="F31" authorId="0" shapeId="0">
      <text>
        <t>Source: Historical D&amp;A run-rate</t>
      </text>
    </comment>
    <comment ref="F32" authorId="0" shapeId="0">
      <text>
        <t>Source: Historical CapEx run-rate</t>
      </text>
    </comment>
    <comment ref="F33" authorId="0" shapeId="0">
      <text>
        <t>Source: Structural negative working capital cash source</t>
      </text>
    </comment>
    <comment ref="F34" authorId="0" shapeId="0">
      <text>
        <t>Source: Base Case Normalized WACC (7.80%)</t>
      </text>
    </comment>
    <comment ref="K35" authorId="0" shapeId="0">
      <text>
        <t>Source: Long-Term Sustainable GDP Growth (2.5%)</t>
      </text>
    </comment>
    <comment ref="F39" authorId="0" shapeId="0">
      <text>
        <t>Source: Bull Case - Accelerated AI hardware refresh + Services acceleration</t>
      </text>
    </comment>
    <comment ref="F40" authorId="0" shapeId="0">
      <text>
        <t>Source: Bull Case - Strong operating leverage &amp; premium pricing</t>
      </text>
    </comment>
    <comment ref="F41" authorId="0" shapeId="0">
      <text>
        <t>Source: Historical D&amp;A run-rate</t>
      </text>
    </comment>
    <comment ref="F42" authorId="0" shapeId="0">
      <text>
        <t>Source: Efficient CapEx deployment</t>
      </text>
    </comment>
    <comment ref="F43" authorId="0" shapeId="0">
      <text>
        <t>Source: Enhanced working capital efficiency</t>
      </text>
    </comment>
    <comment ref="F44" authorId="0" shapeId="0">
      <text>
        <t>Source: Bull Case WACC (7.20%)</t>
      </text>
    </comment>
    <comment ref="K45" authorId="0" shapeId="0">
      <text>
        <t>Source: Premium Brand Terminal Growth (3.0%)</t>
      </text>
    </comment>
    <comment ref="B49" authorId="0" shapeId="0">
      <text>
        <t>Source: Apple Inc. SEC Filings FY2022-FY2025</t>
      </text>
    </comment>
    <comment ref="C49" authorId="0" shapeId="0">
      <text>
        <t>Source: Apple Inc. SEC Filings FY2022-FY2025</t>
      </text>
    </comment>
    <comment ref="D49" authorId="0" shapeId="0">
      <text>
        <t>Source: Apple Inc. SEC Filings FY2022-FY2025</t>
      </text>
    </comment>
    <comment ref="E49" authorId="0" shapeId="0">
      <text>
        <t>Source: Apple Inc. SEC Filings FY2022-FY2025</t>
      </text>
    </comment>
    <comment ref="B50" authorId="0" shapeId="0">
      <text>
        <t>Source: Apple Inc. SEC Filings FY2022-FY2025</t>
      </text>
    </comment>
    <comment ref="C50" authorId="0" shapeId="0">
      <text>
        <t>Source: Apple Inc. SEC Filings FY2022-FY2025</t>
      </text>
    </comment>
    <comment ref="D50" authorId="0" shapeId="0">
      <text>
        <t>Source: Apple Inc. SEC Filings FY2022-FY2025</t>
      </text>
    </comment>
    <comment ref="E50" authorId="0" shapeId="0">
      <text>
        <t>Source: Apple Inc. SEC Filings FY2022-FY2025</t>
      </text>
    </comment>
    <comment ref="B51" authorId="0" shapeId="0">
      <text>
        <t>Source: Apple Inc. SEC Filings FY2022-FY2025</t>
      </text>
    </comment>
    <comment ref="C51" authorId="0" shapeId="0">
      <text>
        <t>Source: Apple Inc. SEC Filings FY2022-FY2025</t>
      </text>
    </comment>
    <comment ref="D51" authorId="0" shapeId="0">
      <text>
        <t>Source: Apple Inc. SEC Filings FY2022-FY2025</t>
      </text>
    </comment>
    <comment ref="E51" authorId="0" shapeId="0">
      <text>
        <t>Source: Apple Inc. SEC Filings FY2022-FY2025</t>
      </text>
    </comment>
    <comment ref="B52" authorId="0" shapeId="0">
      <text>
        <t>Source: Apple Inc. SEC Filings FY2022-FY2025</t>
      </text>
    </comment>
    <comment ref="C52" authorId="0" shapeId="0">
      <text>
        <t>Source: Apple Inc. SEC Filings FY2022-FY2025</t>
      </text>
    </comment>
    <comment ref="D52" authorId="0" shapeId="0">
      <text>
        <t>Source: Apple Inc. SEC Filings FY2022-FY2025</t>
      </text>
    </comment>
    <comment ref="E52" authorId="0" shapeId="0">
      <text>
        <t>Source: Apple Inc. SEC Filings FY2022-FY2025</t>
      </text>
    </comment>
    <comment ref="B53" authorId="0" shapeId="0">
      <text>
        <t>Source: Apple Inc. SEC Filings FY2022-FY2025</t>
      </text>
    </comment>
    <comment ref="C53" authorId="0" shapeId="0">
      <text>
        <t>Source: Apple Inc. SEC Filings FY2022-FY2025</t>
      </text>
    </comment>
    <comment ref="D53" authorId="0" shapeId="0">
      <text>
        <t>Source: Apple Inc. SEC Filings FY2022-FY2025</t>
      </text>
    </comment>
    <comment ref="E53" authorId="0" shapeId="0">
      <text>
        <t>Source: Apple Inc. SEC Filings FY2022-FY2025</t>
      </text>
    </comment>
    <comment ref="B59" authorId="0" shapeId="0">
      <text>
        <t>Source: Apple Form 10-K FY22</t>
      </text>
    </comment>
    <comment ref="C59" authorId="0" shapeId="0">
      <text>
        <t>Source: Apple Form 10-K FY23</t>
      </text>
    </comment>
    <comment ref="D59" authorId="0" shapeId="0">
      <text>
        <t>Source: Apple Form 10-K FY24</t>
      </text>
    </comment>
    <comment ref="E59" authorId="0" shapeId="0">
      <text>
        <t>Source: Apple Form 10-K FY25</t>
      </text>
    </comment>
    <comment ref="B61" authorId="0" shapeId="0">
      <text>
        <t>Source: Apple Form 10-K FY22</t>
      </text>
    </comment>
    <comment ref="C61" authorId="0" shapeId="0">
      <text>
        <t>Source: Apple Form 10-K FY23</t>
      </text>
    </comment>
    <comment ref="D61" authorId="0" shapeId="0">
      <text>
        <t>Source: Apple Form 10-K FY24</t>
      </text>
    </comment>
    <comment ref="E61" authorId="0" shapeId="0">
      <text>
        <t>Source: Apple Form 10-K FY25</t>
      </text>
    </comment>
    <comment ref="B63" authorId="0" shapeId="0">
      <text>
        <t>Source: Apple Form 10-K FY22 OpEx</t>
      </text>
    </comment>
    <comment ref="C63" authorId="0" shapeId="0">
      <text>
        <t>Source: Apple Form 10-K FY23 OpEx</t>
      </text>
    </comment>
    <comment ref="D63" authorId="0" shapeId="0">
      <text>
        <t>Source: Apple Form 10-K FY24 OpEx</t>
      </text>
    </comment>
    <comment ref="E63" authorId="0" shapeId="0">
      <text>
        <t>Source: Apple Form 10-K FY25 OpEx</t>
      </text>
    </comment>
    <comment ref="B64" authorId="0" shapeId="0">
      <text>
        <t>Source: Apple Form 10-K FY22 EBIT</t>
      </text>
    </comment>
    <comment ref="C64" authorId="0" shapeId="0">
      <text>
        <t>Source: Apple Form 10-K FY23 EBIT</t>
      </text>
    </comment>
    <comment ref="D64" authorId="0" shapeId="0">
      <text>
        <t>Source: Apple Form 10-K FY24 EBIT</t>
      </text>
    </comment>
    <comment ref="E64" authorId="0" shapeId="0">
      <text>
        <t>Source: Apple Form 10-K FY25 EBIT</t>
      </text>
    </comment>
    <comment ref="B72" authorId="0" shapeId="0">
      <text>
        <t>Source: Apple FY22 Cash Flow Statement D&amp;A</t>
      </text>
    </comment>
    <comment ref="C72" authorId="0" shapeId="0">
      <text>
        <t>Source: Apple FY23 Cash Flow Statement D&amp;A</t>
      </text>
    </comment>
    <comment ref="D72" authorId="0" shapeId="0">
      <text>
        <t>Source: Apple FY24 Cash Flow Statement D&amp;A</t>
      </text>
    </comment>
    <comment ref="E72" authorId="0" shapeId="0">
      <text>
        <t>Source: Apple FY25 Cash Flow Statement D&amp;A</t>
      </text>
    </comment>
    <comment ref="B73" authorId="0" shapeId="0">
      <text>
        <t>Source: Apple FY22 Cash Flow Statement CapEx</t>
      </text>
    </comment>
    <comment ref="C73" authorId="0" shapeId="0">
      <text>
        <t>Source: Apple FY23 Cash Flow Statement CapEx</t>
      </text>
    </comment>
    <comment ref="D73" authorId="0" shapeId="0">
      <text>
        <t>Source: Apple FY24 Cash Flow Statement CapEx</t>
      </text>
    </comment>
    <comment ref="E73" authorId="0" shapeId="0">
      <text>
        <t>Source: Apple FY25 Cash Flow Statement CapEx</t>
      </text>
    </comment>
    <comment ref="B74" authorId="0" shapeId="0">
      <text>
        <t>Source: Apple FY22 Cash Flow Statement ΔNWC</t>
      </text>
    </comment>
    <comment ref="C74" authorId="0" shapeId="0">
      <text>
        <t>Source: Apple FY23 Cash Flow Statement ΔNWC</t>
      </text>
    </comment>
    <comment ref="D74" authorId="0" shapeId="0">
      <text>
        <t>Source: Apple FY24 Cash Flow Statement ΔNWC</t>
      </text>
    </comment>
    <comment ref="E74" authorId="0" shapeId="0">
      <text>
        <t>Source: Apple FY25 Cash Flow Statement ΔNWC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8" customWidth="1" min="3" max="3"/>
    <col width="20" customWidth="1" min="4" max="4"/>
  </cols>
  <sheetData>
    <row r="1">
      <c r="A1" s="1" t="inlineStr">
        <is>
          <t>Apple Inc. (AAPL) - Cost of Capital (WACC)</t>
        </is>
      </c>
    </row>
    <row r="2">
      <c r="A2" s="2" t="inlineStr">
        <is>
          <t>CAPM &amp; Capital Structure Analysis | Date: 2026-08-19</t>
        </is>
      </c>
    </row>
    <row r="4">
      <c r="A4" s="3" t="inlineStr">
        <is>
          <t>1. COST OF EQUITY (CAPM)</t>
        </is>
      </c>
    </row>
    <row r="5">
      <c r="A5" s="4" t="inlineStr">
        <is>
          <t>Risk-Free Rate (10Y US Treasury)</t>
        </is>
      </c>
      <c r="B5" s="5" t="n">
        <v>0.0469</v>
      </c>
    </row>
    <row r="6">
      <c r="A6" s="4" t="inlineStr">
        <is>
          <t>Beta (5-Year Monthly vs S&amp;P 500)</t>
        </is>
      </c>
      <c r="B6" s="6" t="n">
        <v>1.09</v>
      </c>
    </row>
    <row r="7">
      <c r="A7" s="4" t="inlineStr">
        <is>
          <t>Equity Risk Premium (ERP)</t>
        </is>
      </c>
      <c r="B7" s="5" t="n">
        <v>0.055</v>
      </c>
    </row>
    <row r="8">
      <c r="A8" s="7" t="inlineStr">
        <is>
          <t>Cost of Equity (Ke)</t>
        </is>
      </c>
      <c r="B8" s="8">
        <f>B5+B6*B7</f>
        <v/>
      </c>
    </row>
    <row r="9">
      <c r="A9" s="3" t="inlineStr">
        <is>
          <t>2. COST OF DEBT</t>
        </is>
      </c>
    </row>
    <row r="10">
      <c r="A10" s="4" t="inlineStr">
        <is>
          <t>Credit Rating (S&amp;P / Moody's)</t>
        </is>
      </c>
      <c r="B10" s="9" t="inlineStr">
        <is>
          <t>AA+</t>
        </is>
      </c>
    </row>
    <row r="11">
      <c r="A11" s="4" t="inlineStr">
        <is>
          <t>Pre-Tax Cost of Debt (Kd)</t>
        </is>
      </c>
      <c r="B11" s="5" t="n">
        <v>0.048</v>
      </c>
    </row>
    <row r="12">
      <c r="A12" s="4" t="inlineStr">
        <is>
          <t>Marginal / Effective Tax Rate</t>
        </is>
      </c>
      <c r="B12" s="10">
        <f>DCF!$C$12</f>
        <v/>
      </c>
    </row>
    <row r="13">
      <c r="A13" s="7" t="inlineStr">
        <is>
          <t>After-Tax Cost of Debt (Kd * (1 - t))</t>
        </is>
      </c>
      <c r="B13" s="8">
        <f>B11*(1-B12)</f>
        <v/>
      </c>
    </row>
    <row r="15">
      <c r="A15" s="3" t="inlineStr">
        <is>
          <t>3. CAPITAL STRUCTURE &amp; MARKET VALUES</t>
        </is>
      </c>
    </row>
    <row r="16">
      <c r="A16" s="4" t="inlineStr">
        <is>
          <t>Current Stock Price ($)</t>
        </is>
      </c>
      <c r="B16" s="11">
        <f>DCF!$C$8</f>
        <v/>
      </c>
    </row>
    <row r="17">
      <c r="A17" s="4" t="inlineStr">
        <is>
          <t>Diluted Shares Outstanding (M)</t>
        </is>
      </c>
      <c r="B17" s="12">
        <f>DCF!$C$9</f>
        <v/>
      </c>
    </row>
    <row r="18">
      <c r="A18" s="7" t="inlineStr">
        <is>
          <t>Market Capitalization ($M)</t>
        </is>
      </c>
      <c r="B18" s="13">
        <f>B16*B17</f>
        <v/>
      </c>
    </row>
    <row r="19">
      <c r="A19" s="4" t="inlineStr">
        <is>
          <t>Total Debt ($M)</t>
        </is>
      </c>
      <c r="B19" s="14">
        <f>DCF!$C$11</f>
        <v/>
      </c>
    </row>
    <row r="20">
      <c r="A20" s="4" t="inlineStr">
        <is>
          <t>Cash &amp; Marketable Securities ($M)</t>
        </is>
      </c>
      <c r="B20" s="14">
        <f>DCF!$C$10</f>
        <v/>
      </c>
    </row>
    <row r="21">
      <c r="A21" s="7" t="inlineStr">
        <is>
          <t>Net Debt / (Net Cash) ($M)</t>
        </is>
      </c>
      <c r="B21" s="13">
        <f>B19-B20</f>
        <v/>
      </c>
    </row>
    <row r="22">
      <c r="A22" s="7" t="inlineStr">
        <is>
          <t>Enterprise Value ($M)</t>
        </is>
      </c>
      <c r="B22" s="13">
        <f>B18+B21</f>
        <v/>
      </c>
    </row>
    <row r="24">
      <c r="A24" s="3" t="inlineStr">
        <is>
          <t>4. WEIGHTED AVERAGE COST OF CAPITAL (WACC)</t>
        </is>
      </c>
    </row>
    <row r="25">
      <c r="A25" s="15" t="inlineStr">
        <is>
          <t>Component</t>
        </is>
      </c>
      <c r="B25" s="15" t="inlineStr">
        <is>
          <t>Weight</t>
        </is>
      </c>
      <c r="C25" s="15" t="inlineStr">
        <is>
          <t>Cost</t>
        </is>
      </c>
      <c r="D25" s="15" t="inlineStr">
        <is>
          <t>Contribution</t>
        </is>
      </c>
    </row>
    <row r="26">
      <c r="A26" s="4" t="inlineStr">
        <is>
          <t>Equity</t>
        </is>
      </c>
      <c r="B26" s="16">
        <f>B18/B22</f>
        <v/>
      </c>
      <c r="C26" s="17">
        <f>B8</f>
        <v/>
      </c>
      <c r="D26" s="17">
        <f>B26*C26</f>
        <v/>
      </c>
    </row>
    <row r="27">
      <c r="A27" s="4" t="inlineStr">
        <is>
          <t>Debt (Net Debt Weight)</t>
        </is>
      </c>
      <c r="B27" s="16">
        <f>B21/B22</f>
        <v/>
      </c>
      <c r="C27" s="17">
        <f>B13</f>
        <v/>
      </c>
      <c r="D27" s="17">
        <f>B27*C27</f>
        <v/>
      </c>
    </row>
    <row r="28">
      <c r="A28" s="18" t="inlineStr">
        <is>
          <t>Market Value Weight / CAPM WACC</t>
        </is>
      </c>
      <c r="B28" s="19">
        <f>SUM(B26:B27)</f>
        <v/>
      </c>
      <c r="C28" s="18" t="inlineStr">
        <is>
          <t>-</t>
        </is>
      </c>
      <c r="D28" s="20">
        <f>D26+D27</f>
        <v/>
      </c>
    </row>
    <row r="29">
      <c r="A29" s="7" t="inlineStr">
        <is>
          <t>Institutional Base WACC (Reflecting Long-Term Tech Target Structure)</t>
        </is>
      </c>
      <c r="B29" s="21" t="n">
        <v>0.078</v>
      </c>
    </row>
  </sheetData>
  <mergeCells count="4">
    <mergeCell ref="A15:D15"/>
    <mergeCell ref="A4:D4"/>
    <mergeCell ref="A9:D9"/>
    <mergeCell ref="A24:D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Apple Inc. (AAPL) - 5-Year DCF Valuation Model</t>
        </is>
      </c>
    </row>
    <row r="2">
      <c r="A2" s="2" t="inlineStr">
        <is>
          <t>Ticker: AAPL | Currency: USD in Millions (except per share) | Date: 2026-08-19</t>
        </is>
      </c>
    </row>
    <row r="4">
      <c r="A4" s="22" t="inlineStr">
        <is>
          <t>Active Scenario Selector (1 = Bear Case, 2 = Base Case, 3 = Bull Case):</t>
        </is>
      </c>
      <c r="B4" s="23" t="n">
        <v>2</v>
      </c>
    </row>
    <row r="5">
      <c r="A5" s="22" t="inlineStr">
        <is>
          <t>Active Scenario Selected:</t>
        </is>
      </c>
      <c r="B5" s="24">
        <f>IF(B4=1,"BEAR CASE",IF(B4=2,"BASE CASE","BULL CASE"))</f>
        <v/>
      </c>
    </row>
    <row r="7">
      <c r="A7" s="3" t="inlineStr">
        <is>
          <t>MARKET DATA &amp; CAPITAL STRUCTURE</t>
        </is>
      </c>
    </row>
    <row r="8">
      <c r="A8" s="4" t="inlineStr">
        <is>
          <t>Current Stock Price ($)</t>
        </is>
      </c>
      <c r="C8" s="25" t="n">
        <v>305.59</v>
      </c>
    </row>
    <row r="9">
      <c r="A9" s="4" t="inlineStr">
        <is>
          <t>Diluted Shares Outstanding (M)</t>
        </is>
      </c>
      <c r="C9" s="26" t="n">
        <v>14590</v>
      </c>
    </row>
    <row r="10">
      <c r="A10" s="4" t="inlineStr">
        <is>
          <t>Cash &amp; Marketable Securities ($M)</t>
        </is>
      </c>
      <c r="C10" s="27" t="n">
        <v>156650</v>
      </c>
    </row>
    <row r="11">
      <c r="A11" s="4" t="inlineStr">
        <is>
          <t>Total Debt ($M)</t>
        </is>
      </c>
      <c r="C11" s="27" t="n">
        <v>106042</v>
      </c>
    </row>
    <row r="12">
      <c r="A12" s="4" t="inlineStr">
        <is>
          <t>Effective Tax Rate (%)</t>
        </is>
      </c>
      <c r="C12" s="21" t="n">
        <v>0.16</v>
      </c>
    </row>
    <row r="13">
      <c r="A13" s="7" t="inlineStr">
        <is>
          <t>Market Capitalization ($M)</t>
        </is>
      </c>
      <c r="C13" s="13">
        <f>C8*C9</f>
        <v/>
      </c>
    </row>
    <row r="14">
      <c r="A14" s="7" t="inlineStr">
        <is>
          <t>Net Debt / (Net Cash) ($M)</t>
        </is>
      </c>
      <c r="C14" s="13">
        <f>C11-C10</f>
        <v/>
      </c>
    </row>
    <row r="15">
      <c r="A15" s="7" t="inlineStr">
        <is>
          <t>Enterprise Value ($M)</t>
        </is>
      </c>
      <c r="C15" s="13">
        <f>C13+C14</f>
        <v/>
      </c>
    </row>
    <row r="17">
      <c r="A17" s="3" t="inlineStr">
        <is>
          <t>SCENARIO 1: BEAR CASE ASSUMPTIONS</t>
        </is>
      </c>
    </row>
    <row r="18">
      <c r="A18" s="28" t="inlineStr">
        <is>
          <t>Historical / Projection Metric</t>
        </is>
      </c>
      <c r="B18" s="28" t="inlineStr">
        <is>
          <t>FY2022A</t>
        </is>
      </c>
      <c r="C18" s="28" t="inlineStr">
        <is>
          <t>FY2023A</t>
        </is>
      </c>
      <c r="D18" s="28" t="inlineStr">
        <is>
          <t>FY2024A</t>
        </is>
      </c>
      <c r="E18" s="28" t="inlineStr">
        <is>
          <t>FY2025A</t>
        </is>
      </c>
      <c r="F18" s="28" t="inlineStr">
        <is>
          <t>FY2026E</t>
        </is>
      </c>
      <c r="G18" s="28" t="inlineStr">
        <is>
          <t>FY2027E</t>
        </is>
      </c>
      <c r="H18" s="28" t="inlineStr">
        <is>
          <t>FY2028E</t>
        </is>
      </c>
      <c r="I18" s="28" t="inlineStr">
        <is>
          <t>FY2029E</t>
        </is>
      </c>
      <c r="J18" s="28" t="inlineStr">
        <is>
          <t>FY2030E</t>
        </is>
      </c>
      <c r="K18" s="28" t="inlineStr">
        <is>
          <t>Terminal</t>
        </is>
      </c>
    </row>
    <row r="19">
      <c r="A19" s="4" t="inlineStr">
        <is>
          <t>Revenue Growth (%)</t>
        </is>
      </c>
      <c r="F19" s="21" t="n">
        <v>0.04</v>
      </c>
      <c r="G19" s="21" t="n">
        <v>0.035</v>
      </c>
      <c r="H19" s="21" t="n">
        <v>0.03</v>
      </c>
      <c r="I19" s="21" t="n">
        <v>0.025</v>
      </c>
      <c r="J19" s="21" t="n">
        <v>0.02</v>
      </c>
      <c r="K19" s="21" t="n">
        <v>0.02</v>
      </c>
    </row>
    <row r="20">
      <c r="A20" s="4" t="inlineStr">
        <is>
          <t>EBIT Margin (%)</t>
        </is>
      </c>
      <c r="F20" s="21" t="n">
        <v>0.3</v>
      </c>
      <c r="G20" s="21" t="n">
        <v>0.298</v>
      </c>
      <c r="H20" s="21" t="n">
        <v>0.295</v>
      </c>
      <c r="I20" s="21" t="n">
        <v>0.292</v>
      </c>
      <c r="J20" s="21" t="n">
        <v>0.29</v>
      </c>
      <c r="K20" s="21" t="n">
        <v>0.29</v>
      </c>
    </row>
    <row r="21">
      <c r="A21" s="4" t="inlineStr">
        <is>
          <t>D&amp;A (% of Revenue)</t>
        </is>
      </c>
      <c r="F21" s="21" t="n">
        <v>0.029</v>
      </c>
      <c r="G21" s="21" t="n">
        <v>0.029</v>
      </c>
      <c r="H21" s="21" t="n">
        <v>0.029</v>
      </c>
      <c r="I21" s="21" t="n">
        <v>0.029</v>
      </c>
      <c r="J21" s="21" t="n">
        <v>0.029</v>
      </c>
      <c r="K21" s="21" t="n">
        <v>0.029</v>
      </c>
    </row>
    <row r="22">
      <c r="A22" s="4" t="inlineStr">
        <is>
          <t>CapEx (% of Revenue)</t>
        </is>
      </c>
      <c r="F22" s="21" t="n">
        <v>0.027</v>
      </c>
      <c r="G22" s="21" t="n">
        <v>0.027</v>
      </c>
      <c r="H22" s="21" t="n">
        <v>0.027</v>
      </c>
      <c r="I22" s="21" t="n">
        <v>0.027</v>
      </c>
      <c r="J22" s="21" t="n">
        <v>0.027</v>
      </c>
      <c r="K22" s="21" t="n">
        <v>0.027</v>
      </c>
    </row>
    <row r="23">
      <c r="A23" s="4" t="inlineStr">
        <is>
          <t>NWC Change (% of ΔRev)</t>
        </is>
      </c>
      <c r="F23" s="21" t="n">
        <v>0.02</v>
      </c>
      <c r="G23" s="21" t="n">
        <v>0.02</v>
      </c>
      <c r="H23" s="21" t="n">
        <v>0.02</v>
      </c>
      <c r="I23" s="21" t="n">
        <v>0.02</v>
      </c>
      <c r="J23" s="21" t="n">
        <v>0.02</v>
      </c>
      <c r="K23" s="21" t="n">
        <v>0.02</v>
      </c>
    </row>
    <row r="24">
      <c r="A24" s="4" t="inlineStr">
        <is>
          <t>Discount Rate (WACC)</t>
        </is>
      </c>
      <c r="F24" s="21" t="n">
        <v>0.08500000000000001</v>
      </c>
      <c r="G24" s="21" t="n">
        <v>0.08500000000000001</v>
      </c>
      <c r="H24" s="21" t="n">
        <v>0.08500000000000001</v>
      </c>
      <c r="I24" s="21" t="n">
        <v>0.08500000000000001</v>
      </c>
      <c r="J24" s="21" t="n">
        <v>0.08500000000000001</v>
      </c>
      <c r="K24" s="21" t="n">
        <v>0.08500000000000001</v>
      </c>
    </row>
    <row r="25">
      <c r="A25" s="4" t="inlineStr">
        <is>
          <t>Terminal Growth Rate (g)</t>
        </is>
      </c>
      <c r="F25" s="29" t="n"/>
      <c r="G25" s="29" t="n"/>
      <c r="H25" s="29" t="n"/>
      <c r="I25" s="29" t="n"/>
      <c r="J25" s="29" t="n"/>
      <c r="K25" s="21" t="n">
        <v>0.02</v>
      </c>
    </row>
    <row r="27">
      <c r="A27" s="3" t="inlineStr">
        <is>
          <t>SCENARIO 2: BASE CASE ASSUMPTIONS (CONSENSUS &amp; SERVICES EXPANSION)</t>
        </is>
      </c>
    </row>
    <row r="28">
      <c r="A28" s="28" t="inlineStr">
        <is>
          <t>Historical / Projection Metric</t>
        </is>
      </c>
      <c r="B28" s="28" t="inlineStr">
        <is>
          <t>FY2022A</t>
        </is>
      </c>
      <c r="C28" s="28" t="inlineStr">
        <is>
          <t>FY2023A</t>
        </is>
      </c>
      <c r="D28" s="28" t="inlineStr">
        <is>
          <t>FY2024A</t>
        </is>
      </c>
      <c r="E28" s="28" t="inlineStr">
        <is>
          <t>FY2025A</t>
        </is>
      </c>
      <c r="F28" s="28" t="inlineStr">
        <is>
          <t>FY2026E</t>
        </is>
      </c>
      <c r="G28" s="28" t="inlineStr">
        <is>
          <t>FY2027E</t>
        </is>
      </c>
      <c r="H28" s="28" t="inlineStr">
        <is>
          <t>FY2028E</t>
        </is>
      </c>
      <c r="I28" s="28" t="inlineStr">
        <is>
          <t>FY2029E</t>
        </is>
      </c>
      <c r="J28" s="28" t="inlineStr">
        <is>
          <t>FY2030E</t>
        </is>
      </c>
      <c r="K28" s="28" t="inlineStr">
        <is>
          <t>Terminal</t>
        </is>
      </c>
    </row>
    <row r="29">
      <c r="A29" s="4" t="inlineStr">
        <is>
          <t>Revenue Growth (%)</t>
        </is>
      </c>
      <c r="F29" s="21" t="n">
        <v>0.07000000000000001</v>
      </c>
      <c r="G29" s="21" t="n">
        <v>0.065</v>
      </c>
      <c r="H29" s="21" t="n">
        <v>0.055</v>
      </c>
      <c r="I29" s="21" t="n">
        <v>0.045</v>
      </c>
      <c r="J29" s="21" t="n">
        <v>0.035</v>
      </c>
      <c r="K29" s="21" t="n">
        <v>0.025</v>
      </c>
    </row>
    <row r="30">
      <c r="A30" s="4" t="inlineStr">
        <is>
          <t>EBIT Margin (%)</t>
        </is>
      </c>
      <c r="F30" s="21" t="n">
        <v>0.32</v>
      </c>
      <c r="G30" s="21" t="n">
        <v>0.325</v>
      </c>
      <c r="H30" s="21" t="n">
        <v>0.328</v>
      </c>
      <c r="I30" s="21" t="n">
        <v>0.33</v>
      </c>
      <c r="J30" s="21" t="n">
        <v>0.332</v>
      </c>
      <c r="K30" s="21" t="n">
        <v>0.332</v>
      </c>
    </row>
    <row r="31">
      <c r="A31" s="4" t="inlineStr">
        <is>
          <t>D&amp;A (% of Revenue)</t>
        </is>
      </c>
      <c r="F31" s="21" t="n">
        <v>0.028</v>
      </c>
      <c r="G31" s="21" t="n">
        <v>0.028</v>
      </c>
      <c r="H31" s="21" t="n">
        <v>0.028</v>
      </c>
      <c r="I31" s="21" t="n">
        <v>0.028</v>
      </c>
      <c r="J31" s="21" t="n">
        <v>0.028</v>
      </c>
      <c r="K31" s="21" t="n">
        <v>0.028</v>
      </c>
    </row>
    <row r="32">
      <c r="A32" s="4" t="inlineStr">
        <is>
          <t>CapEx (% of Revenue)</t>
        </is>
      </c>
      <c r="F32" s="21" t="n">
        <v>0.025</v>
      </c>
      <c r="G32" s="21" t="n">
        <v>0.025</v>
      </c>
      <c r="H32" s="21" t="n">
        <v>0.025</v>
      </c>
      <c r="I32" s="21" t="n">
        <v>0.025</v>
      </c>
      <c r="J32" s="21" t="n">
        <v>0.025</v>
      </c>
      <c r="K32" s="21" t="n">
        <v>0.025</v>
      </c>
    </row>
    <row r="33">
      <c r="A33" s="4" t="inlineStr">
        <is>
          <t>NWC Change (% of ΔRev)</t>
        </is>
      </c>
      <c r="F33" s="21" t="n">
        <v>-0.015</v>
      </c>
      <c r="G33" s="21" t="n">
        <v>-0.015</v>
      </c>
      <c r="H33" s="21" t="n">
        <v>-0.015</v>
      </c>
      <c r="I33" s="21" t="n">
        <v>-0.015</v>
      </c>
      <c r="J33" s="21" t="n">
        <v>-0.015</v>
      </c>
      <c r="K33" s="21" t="n">
        <v>-0.015</v>
      </c>
    </row>
    <row r="34">
      <c r="A34" s="4" t="inlineStr">
        <is>
          <t>Discount Rate (WACC)</t>
        </is>
      </c>
      <c r="F34" s="21" t="n">
        <v>0.078</v>
      </c>
      <c r="G34" s="21" t="n">
        <v>0.078</v>
      </c>
      <c r="H34" s="21" t="n">
        <v>0.078</v>
      </c>
      <c r="I34" s="21" t="n">
        <v>0.078</v>
      </c>
      <c r="J34" s="21" t="n">
        <v>0.078</v>
      </c>
      <c r="K34" s="21" t="n">
        <v>0.078</v>
      </c>
    </row>
    <row r="35">
      <c r="A35" s="4" t="inlineStr">
        <is>
          <t>Terminal Growth Rate (g)</t>
        </is>
      </c>
      <c r="F35" s="29" t="n"/>
      <c r="G35" s="29" t="n"/>
      <c r="H35" s="29" t="n"/>
      <c r="I35" s="29" t="n"/>
      <c r="J35" s="29" t="n"/>
      <c r="K35" s="21" t="n">
        <v>0.025</v>
      </c>
    </row>
    <row r="37">
      <c r="A37" s="3" t="inlineStr">
        <is>
          <t>SCENARIO 3: BULL CASE ASSUMPTIONS (AI SUPERCYCLE)</t>
        </is>
      </c>
    </row>
    <row r="38">
      <c r="A38" s="28" t="inlineStr">
        <is>
          <t>Historical / Projection Metric</t>
        </is>
      </c>
      <c r="B38" s="28" t="inlineStr">
        <is>
          <t>FY2022A</t>
        </is>
      </c>
      <c r="C38" s="28" t="inlineStr">
        <is>
          <t>FY2023A</t>
        </is>
      </c>
      <c r="D38" s="28" t="inlineStr">
        <is>
          <t>FY2024A</t>
        </is>
      </c>
      <c r="E38" s="28" t="inlineStr">
        <is>
          <t>FY2025A</t>
        </is>
      </c>
      <c r="F38" s="28" t="inlineStr">
        <is>
          <t>FY2026E</t>
        </is>
      </c>
      <c r="G38" s="28" t="inlineStr">
        <is>
          <t>FY2027E</t>
        </is>
      </c>
      <c r="H38" s="28" t="inlineStr">
        <is>
          <t>FY2028E</t>
        </is>
      </c>
      <c r="I38" s="28" t="inlineStr">
        <is>
          <t>FY2029E</t>
        </is>
      </c>
      <c r="J38" s="28" t="inlineStr">
        <is>
          <t>FY2030E</t>
        </is>
      </c>
      <c r="K38" s="28" t="inlineStr">
        <is>
          <t>Terminal</t>
        </is>
      </c>
    </row>
    <row r="39">
      <c r="A39" s="4" t="inlineStr">
        <is>
          <t>Revenue Growth (%)</t>
        </is>
      </c>
      <c r="F39" s="21" t="n">
        <v>0.1</v>
      </c>
      <c r="G39" s="21" t="n">
        <v>0.09</v>
      </c>
      <c r="H39" s="21" t="n">
        <v>0.08</v>
      </c>
      <c r="I39" s="21" t="n">
        <v>0.065</v>
      </c>
      <c r="J39" s="21" t="n">
        <v>0.05</v>
      </c>
      <c r="K39" s="21" t="n">
        <v>0.03</v>
      </c>
    </row>
    <row r="40">
      <c r="A40" s="4" t="inlineStr">
        <is>
          <t>EBIT Margin (%)</t>
        </is>
      </c>
      <c r="F40" s="21" t="n">
        <v>0.335</v>
      </c>
      <c r="G40" s="21" t="n">
        <v>0.34</v>
      </c>
      <c r="H40" s="21" t="n">
        <v>0.345</v>
      </c>
      <c r="I40" s="21" t="n">
        <v>0.348</v>
      </c>
      <c r="J40" s="21" t="n">
        <v>0.35</v>
      </c>
      <c r="K40" s="21" t="n">
        <v>0.35</v>
      </c>
    </row>
    <row r="41">
      <c r="A41" s="4" t="inlineStr">
        <is>
          <t>D&amp;A (% of Revenue)</t>
        </is>
      </c>
      <c r="F41" s="21" t="n">
        <v>0.027</v>
      </c>
      <c r="G41" s="21" t="n">
        <v>0.027</v>
      </c>
      <c r="H41" s="21" t="n">
        <v>0.027</v>
      </c>
      <c r="I41" s="21" t="n">
        <v>0.027</v>
      </c>
      <c r="J41" s="21" t="n">
        <v>0.027</v>
      </c>
      <c r="K41" s="21" t="n">
        <v>0.027</v>
      </c>
    </row>
    <row r="42">
      <c r="A42" s="4" t="inlineStr">
        <is>
          <t>CapEx (% of Revenue)</t>
        </is>
      </c>
      <c r="F42" s="21" t="n">
        <v>0.024</v>
      </c>
      <c r="G42" s="21" t="n">
        <v>0.024</v>
      </c>
      <c r="H42" s="21" t="n">
        <v>0.024</v>
      </c>
      <c r="I42" s="21" t="n">
        <v>0.024</v>
      </c>
      <c r="J42" s="21" t="n">
        <v>0.024</v>
      </c>
      <c r="K42" s="21" t="n">
        <v>0.024</v>
      </c>
    </row>
    <row r="43">
      <c r="A43" s="4" t="inlineStr">
        <is>
          <t>NWC Change (% of ΔRev)</t>
        </is>
      </c>
      <c r="F43" s="21" t="n">
        <v>-0.02</v>
      </c>
      <c r="G43" s="21" t="n">
        <v>-0.02</v>
      </c>
      <c r="H43" s="21" t="n">
        <v>-0.02</v>
      </c>
      <c r="I43" s="21" t="n">
        <v>-0.02</v>
      </c>
      <c r="J43" s="21" t="n">
        <v>-0.02</v>
      </c>
      <c r="K43" s="21" t="n">
        <v>-0.02</v>
      </c>
    </row>
    <row r="44">
      <c r="A44" s="4" t="inlineStr">
        <is>
          <t>Discount Rate (WACC)</t>
        </is>
      </c>
      <c r="F44" s="21" t="n">
        <v>0.07199999999999999</v>
      </c>
      <c r="G44" s="21" t="n">
        <v>0.07199999999999999</v>
      </c>
      <c r="H44" s="21" t="n">
        <v>0.07199999999999999</v>
      </c>
      <c r="I44" s="21" t="n">
        <v>0.07199999999999999</v>
      </c>
      <c r="J44" s="21" t="n">
        <v>0.07199999999999999</v>
      </c>
      <c r="K44" s="21" t="n">
        <v>0.07199999999999999</v>
      </c>
    </row>
    <row r="45">
      <c r="A45" s="4" t="inlineStr">
        <is>
          <t>Terminal Growth Rate (g)</t>
        </is>
      </c>
      <c r="F45" s="29" t="n"/>
      <c r="G45" s="29" t="n"/>
      <c r="H45" s="29" t="n"/>
      <c r="I45" s="29" t="n"/>
      <c r="J45" s="29" t="n"/>
      <c r="K45" s="21" t="n">
        <v>0.03</v>
      </c>
    </row>
    <row r="47">
      <c r="A47" s="3" t="inlineStr">
        <is>
          <t>ACTIVE / CONSOLIDATED CASE ASSUMPTIONS (DYNAMIC TO SELECTOR)</t>
        </is>
      </c>
    </row>
    <row r="48">
      <c r="A48" s="28" t="inlineStr">
        <is>
          <t>Historical / Projection Metric</t>
        </is>
      </c>
      <c r="B48" s="28" t="inlineStr">
        <is>
          <t>FY2022A</t>
        </is>
      </c>
      <c r="C48" s="28" t="inlineStr">
        <is>
          <t>FY2023A</t>
        </is>
      </c>
      <c r="D48" s="28" t="inlineStr">
        <is>
          <t>FY2024A</t>
        </is>
      </c>
      <c r="E48" s="28" t="inlineStr">
        <is>
          <t>FY2025A</t>
        </is>
      </c>
      <c r="F48" s="28" t="inlineStr">
        <is>
          <t>FY2026E</t>
        </is>
      </c>
      <c r="G48" s="28" t="inlineStr">
        <is>
          <t>FY2027E</t>
        </is>
      </c>
      <c r="H48" s="28" t="inlineStr">
        <is>
          <t>FY2028E</t>
        </is>
      </c>
      <c r="I48" s="28" t="inlineStr">
        <is>
          <t>FY2029E</t>
        </is>
      </c>
      <c r="J48" s="28" t="inlineStr">
        <is>
          <t>FY2030E</t>
        </is>
      </c>
      <c r="K48" s="28" t="inlineStr">
        <is>
          <t>Terminal</t>
        </is>
      </c>
    </row>
    <row r="49">
      <c r="A49" s="7" t="inlineStr">
        <is>
          <t>Revenue Growth (%)</t>
        </is>
      </c>
      <c r="B49" s="30" t="n">
        <v>0.078</v>
      </c>
      <c r="C49" s="30" t="n">
        <v>-0.028</v>
      </c>
      <c r="D49" s="30" t="n">
        <v>0.02</v>
      </c>
      <c r="E49" s="30" t="n">
        <v>0.064</v>
      </c>
      <c r="F49" s="31">
        <f>IF($B$4=1,F19,IF($B$4=2,F29,F39))</f>
        <v/>
      </c>
      <c r="G49" s="31">
        <f>IF($B$4=1,G19,IF($B$4=2,G29,G39))</f>
        <v/>
      </c>
      <c r="H49" s="31">
        <f>IF($B$4=1,H19,IF($B$4=2,H29,H39))</f>
        <v/>
      </c>
      <c r="I49" s="31">
        <f>IF($B$4=1,I19,IF($B$4=2,I29,I39))</f>
        <v/>
      </c>
      <c r="J49" s="31">
        <f>IF($B$4=1,J19,IF($B$4=2,J29,J39))</f>
        <v/>
      </c>
      <c r="K49" s="31">
        <f>IF($B$4=1,K19,IF($B$4=2,K29,K39))</f>
        <v/>
      </c>
    </row>
    <row r="50">
      <c r="A50" s="7" t="inlineStr">
        <is>
          <t>EBIT Margin (%)</t>
        </is>
      </c>
      <c r="B50" s="30" t="n">
        <v>0.303</v>
      </c>
      <c r="C50" s="30" t="n">
        <v>0.298</v>
      </c>
      <c r="D50" s="30" t="n">
        <v>0.315</v>
      </c>
      <c r="E50" s="30" t="n">
        <v>0.32</v>
      </c>
      <c r="F50" s="31">
        <f>IF($B$4=1,F20,IF($B$4=2,F30,F40))</f>
        <v/>
      </c>
      <c r="G50" s="31">
        <f>IF($B$4=1,G20,IF($B$4=2,G30,G40))</f>
        <v/>
      </c>
      <c r="H50" s="31">
        <f>IF($B$4=1,H20,IF($B$4=2,H30,H40))</f>
        <v/>
      </c>
      <c r="I50" s="31">
        <f>IF($B$4=1,I20,IF($B$4=2,I30,I40))</f>
        <v/>
      </c>
      <c r="J50" s="31">
        <f>IF($B$4=1,J20,IF($B$4=2,J30,J40))</f>
        <v/>
      </c>
      <c r="K50" s="31">
        <f>IF($B$4=1,K20,IF($B$4=2,K30,K40))</f>
        <v/>
      </c>
    </row>
    <row r="51">
      <c r="A51" s="7" t="inlineStr">
        <is>
          <t>D&amp;A (% of Revenue)</t>
        </is>
      </c>
      <c r="B51" s="30" t="n">
        <v>0.028</v>
      </c>
      <c r="C51" s="30" t="n">
        <v>0.03</v>
      </c>
      <c r="D51" s="30" t="n">
        <v>0.029</v>
      </c>
      <c r="E51" s="30" t="n">
        <v>0.028</v>
      </c>
      <c r="F51" s="31">
        <f>IF($B$4=1,F21,IF($B$4=2,F31,F41))</f>
        <v/>
      </c>
      <c r="G51" s="31">
        <f>IF($B$4=1,G21,IF($B$4=2,G31,G41))</f>
        <v/>
      </c>
      <c r="H51" s="31">
        <f>IF($B$4=1,H21,IF($B$4=2,H31,H41))</f>
        <v/>
      </c>
      <c r="I51" s="31">
        <f>IF($B$4=1,I21,IF($B$4=2,I31,I41))</f>
        <v/>
      </c>
      <c r="J51" s="31">
        <f>IF($B$4=1,J21,IF($B$4=2,J31,J41))</f>
        <v/>
      </c>
      <c r="K51" s="31">
        <f>IF($B$4=1,K21,IF($B$4=2,K31,K41))</f>
        <v/>
      </c>
    </row>
    <row r="52">
      <c r="A52" s="7" t="inlineStr">
        <is>
          <t>CapEx (% of Revenue)</t>
        </is>
      </c>
      <c r="B52" s="30" t="n">
        <v>0.027</v>
      </c>
      <c r="C52" s="30" t="n">
        <v>0.029</v>
      </c>
      <c r="D52" s="30" t="n">
        <v>0.024</v>
      </c>
      <c r="E52" s="30" t="n">
        <v>0.025</v>
      </c>
      <c r="F52" s="31">
        <f>IF($B$4=1,F22,IF($B$4=2,F32,F42))</f>
        <v/>
      </c>
      <c r="G52" s="31">
        <f>IF($B$4=1,G22,IF($B$4=2,G32,G42))</f>
        <v/>
      </c>
      <c r="H52" s="31">
        <f>IF($B$4=1,H22,IF($B$4=2,H32,H42))</f>
        <v/>
      </c>
      <c r="I52" s="31">
        <f>IF($B$4=1,I22,IF($B$4=2,I32,I42))</f>
        <v/>
      </c>
      <c r="J52" s="31">
        <f>IF($B$4=1,J22,IF($B$4=2,J32,J42))</f>
        <v/>
      </c>
      <c r="K52" s="31">
        <f>IF($B$4=1,K22,IF($B$4=2,K32,K42))</f>
        <v/>
      </c>
    </row>
    <row r="53">
      <c r="A53" s="7" t="inlineStr">
        <is>
          <t>NWC Change (% of ΔRev)</t>
        </is>
      </c>
      <c r="B53" s="30" t="n">
        <v>-0.006</v>
      </c>
      <c r="C53" s="30" t="n">
        <v>-0.012</v>
      </c>
      <c r="D53" s="30" t="n">
        <v>-0.016</v>
      </c>
      <c r="E53" s="30" t="n">
        <v>-0.012</v>
      </c>
      <c r="F53" s="31">
        <f>IF($B$4=1,F23,IF($B$4=2,F33,F43))</f>
        <v/>
      </c>
      <c r="G53" s="31">
        <f>IF($B$4=1,G23,IF($B$4=2,G33,G43))</f>
        <v/>
      </c>
      <c r="H53" s="31">
        <f>IF($B$4=1,H23,IF($B$4=2,H33,H43))</f>
        <v/>
      </c>
      <c r="I53" s="31">
        <f>IF($B$4=1,I23,IF($B$4=2,I33,I43))</f>
        <v/>
      </c>
      <c r="J53" s="31">
        <f>IF($B$4=1,J23,IF($B$4=2,J33,J43))</f>
        <v/>
      </c>
      <c r="K53" s="31">
        <f>IF($B$4=1,K23,IF($B$4=2,K33,K43))</f>
        <v/>
      </c>
    </row>
    <row r="54">
      <c r="A54" s="7" t="inlineStr">
        <is>
          <t>Discount Rate (WACC)</t>
        </is>
      </c>
      <c r="B54" s="29" t="n"/>
      <c r="C54" s="29" t="n"/>
      <c r="D54" s="29" t="n"/>
      <c r="E54" s="29" t="n"/>
      <c r="F54" s="31">
        <f>IF($B$4=1,F24,IF($B$4=2,F34,F44))</f>
        <v/>
      </c>
      <c r="G54" s="31">
        <f>IF($B$4=1,G24,IF($B$4=2,G34,G44))</f>
        <v/>
      </c>
      <c r="H54" s="31">
        <f>IF($B$4=1,H24,IF($B$4=2,H34,H44))</f>
        <v/>
      </c>
      <c r="I54" s="31">
        <f>IF($B$4=1,I24,IF($B$4=2,I34,I44))</f>
        <v/>
      </c>
      <c r="J54" s="31">
        <f>IF($B$4=1,J24,IF($B$4=2,J34,J44))</f>
        <v/>
      </c>
      <c r="K54" s="31">
        <f>IF($B$4=1,K24,IF($B$4=2,K34,K44))</f>
        <v/>
      </c>
    </row>
    <row r="55">
      <c r="A55" s="7" t="inlineStr">
        <is>
          <t>Terminal Growth Rate (g)</t>
        </is>
      </c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1">
        <f>IF($B$4=1,K25,IF($B$4=2,K35,K45))</f>
        <v/>
      </c>
    </row>
    <row r="57">
      <c r="A57" s="3" t="inlineStr">
        <is>
          <t>HISTORICAL &amp; PROJECTED FINANCIALS ($M)</t>
        </is>
      </c>
    </row>
    <row r="58">
      <c r="A58" s="28" t="inlineStr">
        <is>
          <t>Historical / Projection Metric</t>
        </is>
      </c>
      <c r="B58" s="28" t="inlineStr">
        <is>
          <t>FY2022A</t>
        </is>
      </c>
      <c r="C58" s="28" t="inlineStr">
        <is>
          <t>FY2023A</t>
        </is>
      </c>
      <c r="D58" s="28" t="inlineStr">
        <is>
          <t>FY2024A</t>
        </is>
      </c>
      <c r="E58" s="28" t="inlineStr">
        <is>
          <t>FY2025A</t>
        </is>
      </c>
      <c r="F58" s="28" t="inlineStr">
        <is>
          <t>FY2026E</t>
        </is>
      </c>
      <c r="G58" s="28" t="inlineStr">
        <is>
          <t>FY2027E</t>
        </is>
      </c>
      <c r="H58" s="28" t="inlineStr">
        <is>
          <t>FY2028E</t>
        </is>
      </c>
      <c r="I58" s="28" t="inlineStr">
        <is>
          <t>FY2029E</t>
        </is>
      </c>
      <c r="J58" s="28" t="inlineStr">
        <is>
          <t>FY2030E</t>
        </is>
      </c>
      <c r="K58" s="28" t="inlineStr">
        <is>
          <t>Terminal</t>
        </is>
      </c>
    </row>
    <row r="59">
      <c r="A59" s="7" t="inlineStr">
        <is>
          <t>Revenue ($M)</t>
        </is>
      </c>
      <c r="B59" s="32" t="n">
        <v>394328</v>
      </c>
      <c r="C59" s="32" t="n">
        <v>383285</v>
      </c>
      <c r="D59" s="32" t="n">
        <v>391035</v>
      </c>
      <c r="E59" s="32" t="n">
        <v>416161</v>
      </c>
      <c r="F59" s="33">
        <f>E59*(1+F49)</f>
        <v/>
      </c>
      <c r="G59" s="33">
        <f>F59*(1+G49)</f>
        <v/>
      </c>
      <c r="H59" s="33">
        <f>G59*(1+H49)</f>
        <v/>
      </c>
      <c r="I59" s="33">
        <f>H59*(1+I49)</f>
        <v/>
      </c>
      <c r="J59" s="33">
        <f>I59*(1+J49)</f>
        <v/>
      </c>
      <c r="K59" s="33">
        <f>J59*(1+K55)</f>
        <v/>
      </c>
    </row>
    <row r="60">
      <c r="A60" s="4" t="inlineStr">
        <is>
          <t xml:space="preserve">  YoY Growth (%)</t>
        </is>
      </c>
      <c r="B60" s="34" t="n">
        <v>0.078</v>
      </c>
      <c r="C60" s="35">
        <f>C59/B59-1</f>
        <v/>
      </c>
      <c r="D60" s="35">
        <f>D59/C59-1</f>
        <v/>
      </c>
      <c r="E60" s="35">
        <f>E59/D59-1</f>
        <v/>
      </c>
      <c r="F60" s="35">
        <f>F59/E59-1</f>
        <v/>
      </c>
      <c r="G60" s="35">
        <f>G59/F59-1</f>
        <v/>
      </c>
      <c r="H60" s="35">
        <f>H59/G59-1</f>
        <v/>
      </c>
      <c r="I60" s="35">
        <f>I59/H59-1</f>
        <v/>
      </c>
      <c r="J60" s="35">
        <f>J59/I59-1</f>
        <v/>
      </c>
      <c r="K60" s="35">
        <f>K59/J59-1</f>
        <v/>
      </c>
    </row>
    <row r="61">
      <c r="A61" s="4" t="inlineStr">
        <is>
          <t>Gross Profit ($M)</t>
        </is>
      </c>
      <c r="B61" s="32" t="n">
        <v>170782</v>
      </c>
      <c r="C61" s="32" t="n">
        <v>169148</v>
      </c>
      <c r="D61" s="32" t="n">
        <v>180683</v>
      </c>
      <c r="E61" s="32" t="n">
        <v>195201</v>
      </c>
      <c r="F61" s="33">
        <f>F59*0.470</f>
        <v/>
      </c>
      <c r="G61" s="33">
        <f>G59*0.470</f>
        <v/>
      </c>
      <c r="H61" s="33">
        <f>H59*0.470</f>
        <v/>
      </c>
      <c r="I61" s="33">
        <f>I59*0.470</f>
        <v/>
      </c>
      <c r="J61" s="33">
        <f>J59*0.470</f>
        <v/>
      </c>
      <c r="K61" s="33">
        <f>K59*0.470</f>
        <v/>
      </c>
    </row>
    <row r="62">
      <c r="A62" s="4" t="inlineStr">
        <is>
          <t xml:space="preserve">  Gross Margin (%)</t>
        </is>
      </c>
      <c r="B62" s="35">
        <f>B61/B59</f>
        <v/>
      </c>
      <c r="C62" s="35">
        <f>C61/C59</f>
        <v/>
      </c>
      <c r="D62" s="35">
        <f>D61/D59</f>
        <v/>
      </c>
      <c r="E62" s="35">
        <f>E61/E59</f>
        <v/>
      </c>
      <c r="F62" s="35">
        <f>F61/F59</f>
        <v/>
      </c>
      <c r="G62" s="35">
        <f>G61/G59</f>
        <v/>
      </c>
      <c r="H62" s="35">
        <f>H61/H59</f>
        <v/>
      </c>
      <c r="I62" s="35">
        <f>I61/I59</f>
        <v/>
      </c>
      <c r="J62" s="35">
        <f>J61/J59</f>
        <v/>
      </c>
      <c r="K62" s="35">
        <f>K61/K59</f>
        <v/>
      </c>
    </row>
    <row r="63">
      <c r="A63" s="4" t="inlineStr">
        <is>
          <t>Operating Expenses ($M)</t>
        </is>
      </c>
      <c r="B63" s="32" t="n">
        <v>51345</v>
      </c>
      <c r="C63" s="32" t="n">
        <v>54847</v>
      </c>
      <c r="D63" s="32" t="n">
        <v>57467</v>
      </c>
      <c r="E63" s="32" t="n">
        <v>62151</v>
      </c>
      <c r="F63" s="33">
        <f>F61-F64</f>
        <v/>
      </c>
      <c r="G63" s="33">
        <f>G61-G64</f>
        <v/>
      </c>
      <c r="H63" s="33">
        <f>H61-H64</f>
        <v/>
      </c>
      <c r="I63" s="33">
        <f>I61-I64</f>
        <v/>
      </c>
      <c r="J63" s="33">
        <f>J61-J64</f>
        <v/>
      </c>
      <c r="K63" s="33">
        <f>K61-K64</f>
        <v/>
      </c>
    </row>
    <row r="64">
      <c r="A64" s="7" t="inlineStr">
        <is>
          <t>Operating Income (EBIT) ($M)</t>
        </is>
      </c>
      <c r="B64" s="32" t="n">
        <v>119437</v>
      </c>
      <c r="C64" s="32" t="n">
        <v>114301</v>
      </c>
      <c r="D64" s="32" t="n">
        <v>123216</v>
      </c>
      <c r="E64" s="32" t="n">
        <v>133050</v>
      </c>
      <c r="F64" s="33">
        <f>F59*F50</f>
        <v/>
      </c>
      <c r="G64" s="33">
        <f>G59*G50</f>
        <v/>
      </c>
      <c r="H64" s="33">
        <f>H59*H50</f>
        <v/>
      </c>
      <c r="I64" s="33">
        <f>I59*I50</f>
        <v/>
      </c>
      <c r="J64" s="33">
        <f>J59*J50</f>
        <v/>
      </c>
      <c r="K64" s="33">
        <f>K59*K50</f>
        <v/>
      </c>
    </row>
    <row r="65">
      <c r="A65" s="4" t="inlineStr">
        <is>
          <t xml:space="preserve">  EBIT Margin (%)</t>
        </is>
      </c>
      <c r="B65" s="35">
        <f>B64/B59</f>
        <v/>
      </c>
      <c r="C65" s="35">
        <f>C64/C59</f>
        <v/>
      </c>
      <c r="D65" s="35">
        <f>D64/D59</f>
        <v/>
      </c>
      <c r="E65" s="35">
        <f>E64/E59</f>
        <v/>
      </c>
      <c r="F65" s="35">
        <f>F64/F59</f>
        <v/>
      </c>
      <c r="G65" s="35">
        <f>G64/G59</f>
        <v/>
      </c>
      <c r="H65" s="35">
        <f>H64/H59</f>
        <v/>
      </c>
      <c r="I65" s="35">
        <f>I64/I59</f>
        <v/>
      </c>
      <c r="J65" s="35">
        <f>J64/J59</f>
        <v/>
      </c>
      <c r="K65" s="35">
        <f>K64/K59</f>
        <v/>
      </c>
    </row>
    <row r="66">
      <c r="A66" s="4" t="inlineStr">
        <is>
          <t>Taxes on Operating Income ($M)</t>
        </is>
      </c>
      <c r="B66" s="33">
        <f>B64*$C$12</f>
        <v/>
      </c>
      <c r="C66" s="33">
        <f>C64*$C$12</f>
        <v/>
      </c>
      <c r="D66" s="33">
        <f>D64*$C$12</f>
        <v/>
      </c>
      <c r="E66" s="33">
        <f>E64*$C$12</f>
        <v/>
      </c>
      <c r="F66" s="33">
        <f>F64*$C$12</f>
        <v/>
      </c>
      <c r="G66" s="33">
        <f>G64*$C$12</f>
        <v/>
      </c>
      <c r="H66" s="33">
        <f>H64*$C$12</f>
        <v/>
      </c>
      <c r="I66" s="33">
        <f>I64*$C$12</f>
        <v/>
      </c>
      <c r="J66" s="33">
        <f>J64*$C$12</f>
        <v/>
      </c>
      <c r="K66" s="33">
        <f>K64*$C$12</f>
        <v/>
      </c>
    </row>
    <row r="67">
      <c r="A67" s="7" t="inlineStr">
        <is>
          <t>NOPAT (Net Operating Profit After Tax) ($M)</t>
        </is>
      </c>
      <c r="B67" s="33">
        <f>B64-B66</f>
        <v/>
      </c>
      <c r="C67" s="33">
        <f>C64-C66</f>
        <v/>
      </c>
      <c r="D67" s="33">
        <f>D64-D66</f>
        <v/>
      </c>
      <c r="E67" s="33">
        <f>E64-E66</f>
        <v/>
      </c>
      <c r="F67" s="33">
        <f>F64-F66</f>
        <v/>
      </c>
      <c r="G67" s="33">
        <f>G64-G66</f>
        <v/>
      </c>
      <c r="H67" s="33">
        <f>H64-H66</f>
        <v/>
      </c>
      <c r="I67" s="33">
        <f>I64-I66</f>
        <v/>
      </c>
      <c r="J67" s="33">
        <f>J64-J66</f>
        <v/>
      </c>
      <c r="K67" s="33">
        <f>K64-K66</f>
        <v/>
      </c>
    </row>
    <row r="69">
      <c r="A69" s="3" t="inlineStr">
        <is>
          <t>UNLEVERED FREE CASH FLOW (UFCF) BUILD ($M)</t>
        </is>
      </c>
    </row>
    <row r="70">
      <c r="A70" s="28" t="inlineStr">
        <is>
          <t>Historical / Projection Metric</t>
        </is>
      </c>
      <c r="B70" s="28" t="inlineStr">
        <is>
          <t>FY2022A</t>
        </is>
      </c>
      <c r="C70" s="28" t="inlineStr">
        <is>
          <t>FY2023A</t>
        </is>
      </c>
      <c r="D70" s="28" t="inlineStr">
        <is>
          <t>FY2024A</t>
        </is>
      </c>
      <c r="E70" s="28" t="inlineStr">
        <is>
          <t>FY2025A</t>
        </is>
      </c>
      <c r="F70" s="28" t="inlineStr">
        <is>
          <t>FY2026E</t>
        </is>
      </c>
      <c r="G70" s="28" t="inlineStr">
        <is>
          <t>FY2027E</t>
        </is>
      </c>
      <c r="H70" s="28" t="inlineStr">
        <is>
          <t>FY2028E</t>
        </is>
      </c>
      <c r="I70" s="28" t="inlineStr">
        <is>
          <t>FY2029E</t>
        </is>
      </c>
      <c r="J70" s="28" t="inlineStr">
        <is>
          <t>FY2030E</t>
        </is>
      </c>
      <c r="K70" s="28" t="inlineStr">
        <is>
          <t>Terminal</t>
        </is>
      </c>
    </row>
    <row r="71">
      <c r="A71" s="7" t="inlineStr">
        <is>
          <t>NOPAT ($M)</t>
        </is>
      </c>
      <c r="B71" s="33">
        <f>B67</f>
        <v/>
      </c>
      <c r="C71" s="33">
        <f>C67</f>
        <v/>
      </c>
      <c r="D71" s="33">
        <f>D67</f>
        <v/>
      </c>
      <c r="E71" s="33">
        <f>E67</f>
        <v/>
      </c>
      <c r="F71" s="33">
        <f>F67</f>
        <v/>
      </c>
      <c r="G71" s="33">
        <f>G67</f>
        <v/>
      </c>
      <c r="H71" s="33">
        <f>H67</f>
        <v/>
      </c>
      <c r="I71" s="33">
        <f>I67</f>
        <v/>
      </c>
      <c r="J71" s="33">
        <f>J67</f>
        <v/>
      </c>
      <c r="K71" s="33">
        <f>K67</f>
        <v/>
      </c>
    </row>
    <row r="72">
      <c r="A72" s="4" t="inlineStr">
        <is>
          <t>(+) Depreciation &amp; Amortization ($M)</t>
        </is>
      </c>
      <c r="B72" s="32" t="n">
        <v>11104</v>
      </c>
      <c r="C72" s="32" t="n">
        <v>11519</v>
      </c>
      <c r="D72" s="32" t="n">
        <v>11445</v>
      </c>
      <c r="E72" s="32" t="n">
        <v>11800</v>
      </c>
      <c r="F72" s="33">
        <f>F59*F51</f>
        <v/>
      </c>
      <c r="G72" s="33">
        <f>G59*G51</f>
        <v/>
      </c>
      <c r="H72" s="33">
        <f>H59*H51</f>
        <v/>
      </c>
      <c r="I72" s="33">
        <f>I59*I51</f>
        <v/>
      </c>
      <c r="J72" s="33">
        <f>J59*J51</f>
        <v/>
      </c>
      <c r="K72" s="33">
        <f>K59*K51</f>
        <v/>
      </c>
    </row>
    <row r="73">
      <c r="A73" s="4" t="inlineStr">
        <is>
          <t>(-) Capital Expenditures (CapEx) ($M)</t>
        </is>
      </c>
      <c r="B73" s="32" t="n">
        <v>10708</v>
      </c>
      <c r="C73" s="32" t="n">
        <v>10959</v>
      </c>
      <c r="D73" s="32" t="n">
        <v>9447</v>
      </c>
      <c r="E73" s="32" t="n">
        <v>10200</v>
      </c>
      <c r="F73" s="33">
        <f>F59*F52</f>
        <v/>
      </c>
      <c r="G73" s="33">
        <f>G59*G52</f>
        <v/>
      </c>
      <c r="H73" s="33">
        <f>H59*H52</f>
        <v/>
      </c>
      <c r="I73" s="33">
        <f>I59*I52</f>
        <v/>
      </c>
      <c r="J73" s="33">
        <f>J59*J52</f>
        <v/>
      </c>
      <c r="K73" s="33">
        <f>K59*K52</f>
        <v/>
      </c>
    </row>
    <row r="74">
      <c r="A74" s="4" t="inlineStr">
        <is>
          <t>(-) Change in Non-Cash Working Capital (ΔNWC) ($M)</t>
        </is>
      </c>
      <c r="B74" s="32" t="n">
        <v>-2277</v>
      </c>
      <c r="C74" s="32" t="n">
        <v>-4431</v>
      </c>
      <c r="D74" s="32" t="n">
        <v>-6190</v>
      </c>
      <c r="E74" s="32" t="n">
        <v>-5000</v>
      </c>
      <c r="F74" s="33">
        <f>(F59-E59)*F53</f>
        <v/>
      </c>
      <c r="G74" s="33">
        <f>(G59-F59)*G53</f>
        <v/>
      </c>
      <c r="H74" s="33">
        <f>(H59-G59)*H53</f>
        <v/>
      </c>
      <c r="I74" s="33">
        <f>(I59-H59)*I53</f>
        <v/>
      </c>
      <c r="J74" s="33">
        <f>(J59-I59)*J53</f>
        <v/>
      </c>
      <c r="K74" s="33">
        <f>(K59-J59)*K53</f>
        <v/>
      </c>
    </row>
    <row r="75">
      <c r="A75" s="7" t="inlineStr">
        <is>
          <t>Unlevered Free Cash Flow (UFCF) ($M)</t>
        </is>
      </c>
      <c r="B75" s="36">
        <f>B71+B72-B73-B74</f>
        <v/>
      </c>
      <c r="C75" s="36">
        <f>C71+C72-C73-C74</f>
        <v/>
      </c>
      <c r="D75" s="36">
        <f>D71+D72-D73-D74</f>
        <v/>
      </c>
      <c r="E75" s="36">
        <f>E71+E72-E73-E74</f>
        <v/>
      </c>
      <c r="F75" s="36">
        <f>F71+F72-F73-F74</f>
        <v/>
      </c>
      <c r="G75" s="36">
        <f>G71+G72-G73-G74</f>
        <v/>
      </c>
      <c r="H75" s="36">
        <f>H71+H72-H73-H74</f>
        <v/>
      </c>
      <c r="I75" s="36">
        <f>I71+I72-I73-I74</f>
        <v/>
      </c>
      <c r="J75" s="36">
        <f>J71+J72-J73-J74</f>
        <v/>
      </c>
      <c r="K75" s="36">
        <f>K71+K72-K73-K74</f>
        <v/>
      </c>
    </row>
    <row r="76">
      <c r="A76" s="4" t="inlineStr">
        <is>
          <t xml:space="preserve">  FCF Conversion (% of NOPAT)</t>
        </is>
      </c>
      <c r="B76" s="35">
        <f>B75/B71</f>
        <v/>
      </c>
      <c r="C76" s="35">
        <f>C75/C71</f>
        <v/>
      </c>
      <c r="D76" s="35">
        <f>D75/D71</f>
        <v/>
      </c>
      <c r="E76" s="35">
        <f>E75/E71</f>
        <v/>
      </c>
      <c r="F76" s="35">
        <f>F75/F71</f>
        <v/>
      </c>
      <c r="G76" s="35">
        <f>G75/G71</f>
        <v/>
      </c>
      <c r="H76" s="35">
        <f>H75/H71</f>
        <v/>
      </c>
      <c r="I76" s="35">
        <f>I75/I71</f>
        <v/>
      </c>
      <c r="J76" s="35">
        <f>J75/J71</f>
        <v/>
      </c>
      <c r="K76" s="35">
        <f>K75/K71</f>
        <v/>
      </c>
    </row>
    <row r="78">
      <c r="A78" s="3" t="inlineStr">
        <is>
          <t>DISCOUNTING &amp; DCF VALUATION SCHEDULE ($M)</t>
        </is>
      </c>
    </row>
    <row r="79">
      <c r="A79" s="28" t="inlineStr">
        <is>
          <t>Historical / Projection Metric</t>
        </is>
      </c>
      <c r="B79" s="28" t="inlineStr">
        <is>
          <t>FY2022A</t>
        </is>
      </c>
      <c r="C79" s="28" t="inlineStr">
        <is>
          <t>FY2023A</t>
        </is>
      </c>
      <c r="D79" s="28" t="inlineStr">
        <is>
          <t>FY2024A</t>
        </is>
      </c>
      <c r="E79" s="28" t="inlineStr">
        <is>
          <t>FY2025A</t>
        </is>
      </c>
      <c r="F79" s="28" t="inlineStr">
        <is>
          <t>FY2026E</t>
        </is>
      </c>
      <c r="G79" s="28" t="inlineStr">
        <is>
          <t>FY2027E</t>
        </is>
      </c>
      <c r="H79" s="28" t="inlineStr">
        <is>
          <t>FY2028E</t>
        </is>
      </c>
      <c r="I79" s="28" t="inlineStr">
        <is>
          <t>FY2029E</t>
        </is>
      </c>
      <c r="J79" s="28" t="inlineStr">
        <is>
          <t>FY2030E</t>
        </is>
      </c>
      <c r="K79" s="28" t="inlineStr">
        <is>
          <t>Terminal</t>
        </is>
      </c>
    </row>
    <row r="80">
      <c r="A80" s="7" t="inlineStr">
        <is>
          <t>Unlevered Free Cash Flow ($M)</t>
        </is>
      </c>
      <c r="B80" s="29" t="n"/>
      <c r="C80" s="29" t="n"/>
      <c r="D80" s="29" t="n"/>
      <c r="E80" s="29" t="n"/>
      <c r="F80" s="37">
        <f>F75</f>
        <v/>
      </c>
      <c r="G80" s="37">
        <f>G75</f>
        <v/>
      </c>
      <c r="H80" s="37">
        <f>H75</f>
        <v/>
      </c>
      <c r="I80" s="37">
        <f>I75</f>
        <v/>
      </c>
      <c r="J80" s="37">
        <f>J75</f>
        <v/>
      </c>
      <c r="K80" s="37">
        <f>K75</f>
        <v/>
      </c>
    </row>
    <row r="81">
      <c r="A81" s="4" t="inlineStr">
        <is>
          <t>Discount Period (Years, Mid-Year Convention)</t>
        </is>
      </c>
      <c r="B81" s="29" t="n"/>
      <c r="C81" s="29" t="n"/>
      <c r="D81" s="29" t="n"/>
      <c r="E81" s="29" t="n"/>
      <c r="F81" s="38" t="n">
        <v>0.5</v>
      </c>
      <c r="G81" s="38" t="n">
        <v>1.5</v>
      </c>
      <c r="H81" s="38" t="n">
        <v>2.5</v>
      </c>
      <c r="I81" s="38" t="n">
        <v>3.5</v>
      </c>
      <c r="J81" s="38" t="n">
        <v>4.5</v>
      </c>
      <c r="K81" s="38" t="n">
        <v>5</v>
      </c>
    </row>
    <row r="82">
      <c r="A82" s="4" t="inlineStr">
        <is>
          <t>Discount Factor</t>
        </is>
      </c>
      <c r="B82" s="29" t="n"/>
      <c r="C82" s="29" t="n"/>
      <c r="D82" s="29" t="n"/>
      <c r="E82" s="29" t="n"/>
      <c r="F82" s="39">
        <f>1/(1+F54)^F81</f>
        <v/>
      </c>
      <c r="G82" s="39">
        <f>1/(1+G54)^G81</f>
        <v/>
      </c>
      <c r="H82" s="39">
        <f>1/(1+H54)^H81</f>
        <v/>
      </c>
      <c r="I82" s="39">
        <f>1/(1+I54)^I81</f>
        <v/>
      </c>
      <c r="J82" s="39">
        <f>1/(1+J54)^J81</f>
        <v/>
      </c>
      <c r="K82" s="39">
        <f>1/(1+$K$54)^K81</f>
        <v/>
      </c>
    </row>
    <row r="83">
      <c r="A83" s="7" t="inlineStr">
        <is>
          <t>Present Value of FCF ($M)</t>
        </is>
      </c>
      <c r="B83" s="29" t="n"/>
      <c r="C83" s="29" t="n"/>
      <c r="D83" s="29" t="n"/>
      <c r="E83" s="29" t="n"/>
      <c r="F83" s="37">
        <f>F80*F82</f>
        <v/>
      </c>
      <c r="G83" s="37">
        <f>G80*G82</f>
        <v/>
      </c>
      <c r="H83" s="37">
        <f>H80*H82</f>
        <v/>
      </c>
      <c r="I83" s="37">
        <f>I80*I82</f>
        <v/>
      </c>
      <c r="J83" s="37">
        <f>J80*J82</f>
        <v/>
      </c>
      <c r="K83" s="37">
        <f>K85*K82</f>
        <v/>
      </c>
    </row>
    <row r="84">
      <c r="A84" s="4" t="inlineStr">
        <is>
          <t>Terminal Growth Rate (g)</t>
        </is>
      </c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16">
        <f>$K$55</f>
        <v/>
      </c>
    </row>
    <row r="85">
      <c r="A85" s="4" t="inlineStr">
        <is>
          <t>Terminal Value (Undiscounted) ($M)</t>
        </is>
      </c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37">
        <f>K80/($K$54-$K$55)</f>
        <v/>
      </c>
    </row>
    <row r="86">
      <c r="A86" s="7" t="inlineStr">
        <is>
          <t>Present Value of Terminal Value ($M)</t>
        </is>
      </c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36">
        <f>K85*K82</f>
        <v/>
      </c>
    </row>
    <row r="88">
      <c r="A88" s="3" t="inlineStr">
        <is>
          <t>EQUITY VALUE BRIDGE &amp; IMPLIED VALUATION ($M)</t>
        </is>
      </c>
    </row>
    <row r="89">
      <c r="A89" s="4" t="inlineStr">
        <is>
          <t>Cumulative PV of 5-Year Explicit FCFs ($M)</t>
        </is>
      </c>
      <c r="C89" s="13">
        <f>SUM(F83:J83)</f>
        <v/>
      </c>
    </row>
    <row r="90">
      <c r="A90" s="4" t="inlineStr">
        <is>
          <t>Present Value of Terminal Value ($M)</t>
        </is>
      </c>
      <c r="C90" s="13">
        <f>K86</f>
        <v/>
      </c>
    </row>
    <row r="91">
      <c r="A91" s="4" t="inlineStr">
        <is>
          <t>Implied Enterprise Value ($M)</t>
        </is>
      </c>
      <c r="C91" s="40">
        <f>C89+C90</f>
        <v/>
      </c>
    </row>
    <row r="92">
      <c r="A92" s="4" t="inlineStr">
        <is>
          <t>(-) Total Debt ($M)</t>
        </is>
      </c>
      <c r="C92" s="41">
        <f>$C$11</f>
        <v/>
      </c>
    </row>
    <row r="93">
      <c r="A93" s="4" t="inlineStr">
        <is>
          <t>(+) Cash &amp; Marketable Securities ($M)</t>
        </is>
      </c>
      <c r="C93" s="41">
        <f>$C$10</f>
        <v/>
      </c>
    </row>
    <row r="94">
      <c r="A94" s="4" t="inlineStr">
        <is>
          <t>(-) Net Debt / (+) Net Cash ($M)</t>
        </is>
      </c>
      <c r="C94" s="13">
        <f>$C$14</f>
        <v/>
      </c>
    </row>
    <row r="95">
      <c r="A95" s="4" t="inlineStr">
        <is>
          <t>Implied Equity Value ($M)</t>
        </is>
      </c>
      <c r="C95" s="40">
        <f>C91-C94</f>
        <v/>
      </c>
    </row>
    <row r="96">
      <c r="A96" s="4" t="inlineStr">
        <is>
          <t>Diluted Shares Outstanding (M)</t>
        </is>
      </c>
      <c r="C96" s="42">
        <f>$C$9</f>
        <v/>
      </c>
    </row>
    <row r="97">
      <c r="A97" s="7" t="inlineStr">
        <is>
          <t>IMPLIED SHARE PRICE ($ / Share)</t>
        </is>
      </c>
      <c r="C97" s="43">
        <f>C95/C96</f>
        <v/>
      </c>
    </row>
    <row r="98">
      <c r="A98" s="4" t="inlineStr">
        <is>
          <t>Current Stock Price ($ / Share)</t>
        </is>
      </c>
      <c r="C98" s="44">
        <f>$C$8</f>
        <v/>
      </c>
    </row>
    <row r="99">
      <c r="A99" s="4" t="inlineStr">
        <is>
          <t>Implied Upside / (Downside) (%)</t>
        </is>
      </c>
      <c r="C99" s="45">
        <f>(C97/C98)-1</f>
        <v/>
      </c>
    </row>
    <row r="100">
      <c r="A100" s="4" t="inlineStr">
        <is>
          <t>Terminal Value % of Enterprise Value</t>
        </is>
      </c>
      <c r="C100" s="31">
        <f>C90/C91</f>
        <v/>
      </c>
    </row>
    <row r="103">
      <c r="A103" s="3" t="inlineStr">
        <is>
          <t>SENSITIVITY 1: WACC vs. Terminal Growth Rate (Implied Share Price $)</t>
        </is>
      </c>
    </row>
    <row r="104">
      <c r="A104" s="15" t="inlineStr">
        <is>
          <t>WACC \ g</t>
        </is>
      </c>
      <c r="B104" s="46" t="n">
        <v>0.015</v>
      </c>
      <c r="C104" s="46" t="n">
        <v>0.02</v>
      </c>
      <c r="D104" s="46" t="n">
        <v>0.025</v>
      </c>
      <c r="E104" s="46" t="n">
        <v>0.03</v>
      </c>
      <c r="F104" s="46" t="n">
        <v>0.035</v>
      </c>
    </row>
    <row r="105">
      <c r="A105" s="46" t="n">
        <v>0.068</v>
      </c>
      <c r="B105" s="44">
        <f>((($F$80/(1+$A105)^$F$81 + $G$80/(1+$A105)^$G$81 + $H$80/(1+$A105)^$H$81 + $I$80/(1+$A105)^$I$81 + $J$80/(1+$A105)^$J$81) + (($J$80*(1+B$104)/($A105-B$104))/(1+$A105)^$K$81)) - $C$14)/$C$9</f>
        <v/>
      </c>
      <c r="C105" s="44">
        <f>((($F$80/(1+$A105)^$F$81 + $G$80/(1+$A105)^$G$81 + $H$80/(1+$A105)^$H$81 + $I$80/(1+$A105)^$I$81 + $J$80/(1+$A105)^$J$81) + (($J$80*(1+C$104)/($A105-C$104))/(1+$A105)^$K$81)) - $C$14)/$C$9</f>
        <v/>
      </c>
      <c r="D105" s="44">
        <f>((($F$80/(1+$A105)^$F$81 + $G$80/(1+$A105)^$G$81 + $H$80/(1+$A105)^$H$81 + $I$80/(1+$A105)^$I$81 + $J$80/(1+$A105)^$J$81) + (($J$80*(1+D$104)/($A105-D$104))/(1+$A105)^$K$81)) - $C$14)/$C$9</f>
        <v/>
      </c>
      <c r="E105" s="44">
        <f>((($F$80/(1+$A105)^$F$81 + $G$80/(1+$A105)^$G$81 + $H$80/(1+$A105)^$H$81 + $I$80/(1+$A105)^$I$81 + $J$80/(1+$A105)^$J$81) + (($J$80*(1+E$104)/($A105-E$104))/(1+$A105)^$K$81)) - $C$14)/$C$9</f>
        <v/>
      </c>
      <c r="F105" s="44">
        <f>((($F$80/(1+$A105)^$F$81 + $G$80/(1+$A105)^$G$81 + $H$80/(1+$A105)^$H$81 + $I$80/(1+$A105)^$I$81 + $J$80/(1+$A105)^$J$81) + (($J$80*(1+F$104)/($A105-F$104))/(1+$A105)^$K$81)) - $C$14)/$C$9</f>
        <v/>
      </c>
    </row>
    <row r="106">
      <c r="A106" s="46" t="n">
        <v>0.073</v>
      </c>
      <c r="B106" s="44">
        <f>((($F$80/(1+$A106)^$F$81 + $G$80/(1+$A106)^$G$81 + $H$80/(1+$A106)^$H$81 + $I$80/(1+$A106)^$I$81 + $J$80/(1+$A106)^$J$81) + (($J$80*(1+B$104)/($A106-B$104))/(1+$A106)^$K$81)) - $C$14)/$C$9</f>
        <v/>
      </c>
      <c r="C106" s="44">
        <f>((($F$80/(1+$A106)^$F$81 + $G$80/(1+$A106)^$G$81 + $H$80/(1+$A106)^$H$81 + $I$80/(1+$A106)^$I$81 + $J$80/(1+$A106)^$J$81) + (($J$80*(1+C$104)/($A106-C$104))/(1+$A106)^$K$81)) - $C$14)/$C$9</f>
        <v/>
      </c>
      <c r="D106" s="44">
        <f>((($F$80/(1+$A106)^$F$81 + $G$80/(1+$A106)^$G$81 + $H$80/(1+$A106)^$H$81 + $I$80/(1+$A106)^$I$81 + $J$80/(1+$A106)^$J$81) + (($J$80*(1+D$104)/($A106-D$104))/(1+$A106)^$K$81)) - $C$14)/$C$9</f>
        <v/>
      </c>
      <c r="E106" s="44">
        <f>((($F$80/(1+$A106)^$F$81 + $G$80/(1+$A106)^$G$81 + $H$80/(1+$A106)^$H$81 + $I$80/(1+$A106)^$I$81 + $J$80/(1+$A106)^$J$81) + (($J$80*(1+E$104)/($A106-E$104))/(1+$A106)^$K$81)) - $C$14)/$C$9</f>
        <v/>
      </c>
      <c r="F106" s="44">
        <f>((($F$80/(1+$A106)^$F$81 + $G$80/(1+$A106)^$G$81 + $H$80/(1+$A106)^$H$81 + $I$80/(1+$A106)^$I$81 + $J$80/(1+$A106)^$J$81) + (($J$80*(1+F$104)/($A106-F$104))/(1+$A106)^$K$81)) - $C$14)/$C$9</f>
        <v/>
      </c>
    </row>
    <row r="107">
      <c r="A107" s="46" t="n">
        <v>0.078</v>
      </c>
      <c r="B107" s="44">
        <f>((($F$80/(1+$A107)^$F$81 + $G$80/(1+$A107)^$G$81 + $H$80/(1+$A107)^$H$81 + $I$80/(1+$A107)^$I$81 + $J$80/(1+$A107)^$J$81) + (($J$80*(1+B$104)/($A107-B$104))/(1+$A107)^$K$81)) - $C$14)/$C$9</f>
        <v/>
      </c>
      <c r="C107" s="44">
        <f>((($F$80/(1+$A107)^$F$81 + $G$80/(1+$A107)^$G$81 + $H$80/(1+$A107)^$H$81 + $I$80/(1+$A107)^$I$81 + $J$80/(1+$A107)^$J$81) + (($J$80*(1+C$104)/($A107-C$104))/(1+$A107)^$K$81)) - $C$14)/$C$9</f>
        <v/>
      </c>
      <c r="D107" s="43">
        <f>((($F$80/(1+$A107)^$F$81 + $G$80/(1+$A107)^$G$81 + $H$80/(1+$A107)^$H$81 + $I$80/(1+$A107)^$I$81 + $J$80/(1+$A107)^$J$81) + (($J$80*(1+D$104)/($A107-D$104))/(1+$A107)^$K$81)) - $C$14)/$C$9</f>
        <v/>
      </c>
      <c r="E107" s="44">
        <f>((($F$80/(1+$A107)^$F$81 + $G$80/(1+$A107)^$G$81 + $H$80/(1+$A107)^$H$81 + $I$80/(1+$A107)^$I$81 + $J$80/(1+$A107)^$J$81) + (($J$80*(1+E$104)/($A107-E$104))/(1+$A107)^$K$81)) - $C$14)/$C$9</f>
        <v/>
      </c>
      <c r="F107" s="44">
        <f>((($F$80/(1+$A107)^$F$81 + $G$80/(1+$A107)^$G$81 + $H$80/(1+$A107)^$H$81 + $I$80/(1+$A107)^$I$81 + $J$80/(1+$A107)^$J$81) + (($J$80*(1+F$104)/($A107-F$104))/(1+$A107)^$K$81)) - $C$14)/$C$9</f>
        <v/>
      </c>
    </row>
    <row r="108">
      <c r="A108" s="46" t="n">
        <v>0.083</v>
      </c>
      <c r="B108" s="44">
        <f>((($F$80/(1+$A108)^$F$81 + $G$80/(1+$A108)^$G$81 + $H$80/(1+$A108)^$H$81 + $I$80/(1+$A108)^$I$81 + $J$80/(1+$A108)^$J$81) + (($J$80*(1+B$104)/($A108-B$104))/(1+$A108)^$K$81)) - $C$14)/$C$9</f>
        <v/>
      </c>
      <c r="C108" s="44">
        <f>((($F$80/(1+$A108)^$F$81 + $G$80/(1+$A108)^$G$81 + $H$80/(1+$A108)^$H$81 + $I$80/(1+$A108)^$I$81 + $J$80/(1+$A108)^$J$81) + (($J$80*(1+C$104)/($A108-C$104))/(1+$A108)^$K$81)) - $C$14)/$C$9</f>
        <v/>
      </c>
      <c r="D108" s="44">
        <f>((($F$80/(1+$A108)^$F$81 + $G$80/(1+$A108)^$G$81 + $H$80/(1+$A108)^$H$81 + $I$80/(1+$A108)^$I$81 + $J$80/(1+$A108)^$J$81) + (($J$80*(1+D$104)/($A108-D$104))/(1+$A108)^$K$81)) - $C$14)/$C$9</f>
        <v/>
      </c>
      <c r="E108" s="44">
        <f>((($F$80/(1+$A108)^$F$81 + $G$80/(1+$A108)^$G$81 + $H$80/(1+$A108)^$H$81 + $I$80/(1+$A108)^$I$81 + $J$80/(1+$A108)^$J$81) + (($J$80*(1+E$104)/($A108-E$104))/(1+$A108)^$K$81)) - $C$14)/$C$9</f>
        <v/>
      </c>
      <c r="F108" s="44">
        <f>((($F$80/(1+$A108)^$F$81 + $G$80/(1+$A108)^$G$81 + $H$80/(1+$A108)^$H$81 + $I$80/(1+$A108)^$I$81 + $J$80/(1+$A108)^$J$81) + (($J$80*(1+F$104)/($A108-F$104))/(1+$A108)^$K$81)) - $C$14)/$C$9</f>
        <v/>
      </c>
    </row>
    <row r="109">
      <c r="A109" s="46" t="n">
        <v>0.08799999999999999</v>
      </c>
      <c r="B109" s="44">
        <f>((($F$80/(1+$A109)^$F$81 + $G$80/(1+$A109)^$G$81 + $H$80/(1+$A109)^$H$81 + $I$80/(1+$A109)^$I$81 + $J$80/(1+$A109)^$J$81) + (($J$80*(1+B$104)/($A109-B$104))/(1+$A109)^$K$81)) - $C$14)/$C$9</f>
        <v/>
      </c>
      <c r="C109" s="44">
        <f>((($F$80/(1+$A109)^$F$81 + $G$80/(1+$A109)^$G$81 + $H$80/(1+$A109)^$H$81 + $I$80/(1+$A109)^$I$81 + $J$80/(1+$A109)^$J$81) + (($J$80*(1+C$104)/($A109-C$104))/(1+$A109)^$K$81)) - $C$14)/$C$9</f>
        <v/>
      </c>
      <c r="D109" s="44">
        <f>((($F$80/(1+$A109)^$F$81 + $G$80/(1+$A109)^$G$81 + $H$80/(1+$A109)^$H$81 + $I$80/(1+$A109)^$I$81 + $J$80/(1+$A109)^$J$81) + (($J$80*(1+D$104)/($A109-D$104))/(1+$A109)^$K$81)) - $C$14)/$C$9</f>
        <v/>
      </c>
      <c r="E109" s="44">
        <f>((($F$80/(1+$A109)^$F$81 + $G$80/(1+$A109)^$G$81 + $H$80/(1+$A109)^$H$81 + $I$80/(1+$A109)^$I$81 + $J$80/(1+$A109)^$J$81) + (($J$80*(1+E$104)/($A109-E$104))/(1+$A109)^$K$81)) - $C$14)/$C$9</f>
        <v/>
      </c>
      <c r="F109" s="44">
        <f>((($F$80/(1+$A109)^$F$81 + $G$80/(1+$A109)^$G$81 + $H$80/(1+$A109)^$H$81 + $I$80/(1+$A109)^$I$81 + $J$80/(1+$A109)^$J$81) + (($J$80*(1+F$104)/($A109-F$104))/(1+$A109)^$K$81)) - $C$14)/$C$9</f>
        <v/>
      </c>
    </row>
    <row r="112">
      <c r="A112" s="3" t="inlineStr">
        <is>
          <t>SENSITIVITY 2: FY2026E Revenue Growth vs. FY2026E EBIT Margin (Implied Share Price $)</t>
        </is>
      </c>
    </row>
    <row r="113">
      <c r="A113" s="15" t="inlineStr">
        <is>
          <t>Rev Growth \ EBIT Margin</t>
        </is>
      </c>
      <c r="B113" s="46" t="n">
        <v>0.3</v>
      </c>
      <c r="C113" s="46" t="n">
        <v>0.31</v>
      </c>
      <c r="D113" s="46" t="n">
        <v>0.32</v>
      </c>
      <c r="E113" s="46" t="n">
        <v>0.33</v>
      </c>
      <c r="F113" s="46" t="n">
        <v>0.34</v>
      </c>
    </row>
    <row r="114">
      <c r="A114" s="46" t="n">
        <v>0.05</v>
      </c>
      <c r="B114" s="44">
        <f>(($C$89+$C$90)*(B$113/$F$50)*((1+$A114)/(1+$F$49))-$C$14)/$C$9</f>
        <v/>
      </c>
      <c r="C114" s="44">
        <f>(($C$89+$C$90)*(C$113/$F$50)*((1+$A114)/(1+$F$49))-$C$14)/$C$9</f>
        <v/>
      </c>
      <c r="D114" s="44">
        <f>(($C$89+$C$90)*(D$113/$F$50)*((1+$A114)/(1+$F$49))-$C$14)/$C$9</f>
        <v/>
      </c>
      <c r="E114" s="44">
        <f>(($C$89+$C$90)*(E$113/$F$50)*((1+$A114)/(1+$F$49))-$C$14)/$C$9</f>
        <v/>
      </c>
      <c r="F114" s="44">
        <f>(($C$89+$C$90)*(F$113/$F$50)*((1+$A114)/(1+$F$49))-$C$14)/$C$9</f>
        <v/>
      </c>
    </row>
    <row r="115">
      <c r="A115" s="46" t="n">
        <v>0.06</v>
      </c>
      <c r="B115" s="44">
        <f>(($C$89+$C$90)*(B$113/$F$50)*((1+$A115)/(1+$F$49))-$C$14)/$C$9</f>
        <v/>
      </c>
      <c r="C115" s="44">
        <f>(($C$89+$C$90)*(C$113/$F$50)*((1+$A115)/(1+$F$49))-$C$14)/$C$9</f>
        <v/>
      </c>
      <c r="D115" s="44">
        <f>(($C$89+$C$90)*(D$113/$F$50)*((1+$A115)/(1+$F$49))-$C$14)/$C$9</f>
        <v/>
      </c>
      <c r="E115" s="44">
        <f>(($C$89+$C$90)*(E$113/$F$50)*((1+$A115)/(1+$F$49))-$C$14)/$C$9</f>
        <v/>
      </c>
      <c r="F115" s="44">
        <f>(($C$89+$C$90)*(F$113/$F$50)*((1+$A115)/(1+$F$49))-$C$14)/$C$9</f>
        <v/>
      </c>
    </row>
    <row r="116">
      <c r="A116" s="46" t="n">
        <v>0.07000000000000001</v>
      </c>
      <c r="B116" s="44">
        <f>(($C$89+$C$90)*(B$113/$F$50)*((1+$A116)/(1+$F$49))-$C$14)/$C$9</f>
        <v/>
      </c>
      <c r="C116" s="44">
        <f>(($C$89+$C$90)*(C$113/$F$50)*((1+$A116)/(1+$F$49))-$C$14)/$C$9</f>
        <v/>
      </c>
      <c r="D116" s="43">
        <f>(($C$89+$C$90)*(D$113/$F$50)*((1+$A116)/(1+$F$49))-$C$14)/$C$9</f>
        <v/>
      </c>
      <c r="E116" s="44">
        <f>(($C$89+$C$90)*(E$113/$F$50)*((1+$A116)/(1+$F$49))-$C$14)/$C$9</f>
        <v/>
      </c>
      <c r="F116" s="44">
        <f>(($C$89+$C$90)*(F$113/$F$50)*((1+$A116)/(1+$F$49))-$C$14)/$C$9</f>
        <v/>
      </c>
    </row>
    <row r="117">
      <c r="A117" s="46" t="n">
        <v>0.08</v>
      </c>
      <c r="B117" s="44">
        <f>(($C$89+$C$90)*(B$113/$F$50)*((1+$A117)/(1+$F$49))-$C$14)/$C$9</f>
        <v/>
      </c>
      <c r="C117" s="44">
        <f>(($C$89+$C$90)*(C$113/$F$50)*((1+$A117)/(1+$F$49))-$C$14)/$C$9</f>
        <v/>
      </c>
      <c r="D117" s="44">
        <f>(($C$89+$C$90)*(D$113/$F$50)*((1+$A117)/(1+$F$49))-$C$14)/$C$9</f>
        <v/>
      </c>
      <c r="E117" s="44">
        <f>(($C$89+$C$90)*(E$113/$F$50)*((1+$A117)/(1+$F$49))-$C$14)/$C$9</f>
        <v/>
      </c>
      <c r="F117" s="44">
        <f>(($C$89+$C$90)*(F$113/$F$50)*((1+$A117)/(1+$F$49))-$C$14)/$C$9</f>
        <v/>
      </c>
    </row>
    <row r="118">
      <c r="A118" s="46" t="n">
        <v>0.09</v>
      </c>
      <c r="B118" s="44">
        <f>(($C$89+$C$90)*(B$113/$F$50)*((1+$A118)/(1+$F$49))-$C$14)/$C$9</f>
        <v/>
      </c>
      <c r="C118" s="44">
        <f>(($C$89+$C$90)*(C$113/$F$50)*((1+$A118)/(1+$F$49))-$C$14)/$C$9</f>
        <v/>
      </c>
      <c r="D118" s="44">
        <f>(($C$89+$C$90)*(D$113/$F$50)*((1+$A118)/(1+$F$49))-$C$14)/$C$9</f>
        <v/>
      </c>
      <c r="E118" s="44">
        <f>(($C$89+$C$90)*(E$113/$F$50)*((1+$A118)/(1+$F$49))-$C$14)/$C$9</f>
        <v/>
      </c>
      <c r="F118" s="44">
        <f>(($C$89+$C$90)*(F$113/$F$50)*((1+$A118)/(1+$F$49))-$C$14)/$C$9</f>
        <v/>
      </c>
    </row>
    <row r="121">
      <c r="A121" s="3" t="inlineStr">
        <is>
          <t>SENSITIVITY 3: Beta vs. Risk-Free Rate (Implied Share Price $)</t>
        </is>
      </c>
    </row>
    <row r="122">
      <c r="A122" s="15" t="inlineStr">
        <is>
          <t>Beta \ Risk-Free Rate</t>
        </is>
      </c>
      <c r="B122" s="47" t="n">
        <v>0.0369</v>
      </c>
      <c r="C122" s="47" t="n">
        <v>0.0419</v>
      </c>
      <c r="D122" s="47" t="n">
        <v>0.0469</v>
      </c>
      <c r="E122" s="47" t="n">
        <v>0.0519</v>
      </c>
      <c r="F122" s="47" t="n">
        <v>0.0569</v>
      </c>
    </row>
    <row r="123">
      <c r="A123" s="48" t="n">
        <v>0.89</v>
      </c>
      <c r="B123" s="44">
        <f>((($F$80/(1+((B$122+$A123*WACC!$B$7)*($K$54/WACC!$B$8)))^$F$81 + $G$80/(1+((B$122+$A123*WACC!$B$7)*($K$54/WACC!$B$8)))^$G$81 + $H$80/(1+((B$122+$A123*WACC!$B$7)*($K$54/WACC!$B$8)))^$H$81 + $I$80/(1+((B$122+$A123*WACC!$B$7)*($K$54/WACC!$B$8)))^$I$81 + $J$80/(1+((B$122+$A123*WACC!$B$7)*($K$54/WACC!$B$8)))^$J$81) + (($J$80*(1+$K$55)/(((B$122+$A123*WACC!$B$7)*($K$54/WACC!$B$8))-$K$55))/(1+((B$122+$A123*WACC!$B$7)*($K$54/WACC!$B$8)))^$K$81)) - $C$14)/$C$9</f>
        <v/>
      </c>
      <c r="C123" s="44">
        <f>((($F$80/(1+((C$122+$A123*WACC!$B$7)*($K$54/WACC!$B$8)))^$F$81 + $G$80/(1+((C$122+$A123*WACC!$B$7)*($K$54/WACC!$B$8)))^$G$81 + $H$80/(1+((C$122+$A123*WACC!$B$7)*($K$54/WACC!$B$8)))^$H$81 + $I$80/(1+((C$122+$A123*WACC!$B$7)*($K$54/WACC!$B$8)))^$I$81 + $J$80/(1+((C$122+$A123*WACC!$B$7)*($K$54/WACC!$B$8)))^$J$81) + (($J$80*(1+$K$55)/(((C$122+$A123*WACC!$B$7)*($K$54/WACC!$B$8))-$K$55))/(1+((C$122+$A123*WACC!$B$7)*($K$54/WACC!$B$8)))^$K$81)) - $C$14)/$C$9</f>
        <v/>
      </c>
      <c r="D123" s="44">
        <f>((($F$80/(1+((D$122+$A123*WACC!$B$7)*($K$54/WACC!$B$8)))^$F$81 + $G$80/(1+((D$122+$A123*WACC!$B$7)*($K$54/WACC!$B$8)))^$G$81 + $H$80/(1+((D$122+$A123*WACC!$B$7)*($K$54/WACC!$B$8)))^$H$81 + $I$80/(1+((D$122+$A123*WACC!$B$7)*($K$54/WACC!$B$8)))^$I$81 + $J$80/(1+((D$122+$A123*WACC!$B$7)*($K$54/WACC!$B$8)))^$J$81) + (($J$80*(1+$K$55)/(((D$122+$A123*WACC!$B$7)*($K$54/WACC!$B$8))-$K$55))/(1+((D$122+$A123*WACC!$B$7)*($K$54/WACC!$B$8)))^$K$81)) - $C$14)/$C$9</f>
        <v/>
      </c>
      <c r="E123" s="44">
        <f>((($F$80/(1+((E$122+$A123*WACC!$B$7)*($K$54/WACC!$B$8)))^$F$81 + $G$80/(1+((E$122+$A123*WACC!$B$7)*($K$54/WACC!$B$8)))^$G$81 + $H$80/(1+((E$122+$A123*WACC!$B$7)*($K$54/WACC!$B$8)))^$H$81 + $I$80/(1+((E$122+$A123*WACC!$B$7)*($K$54/WACC!$B$8)))^$I$81 + $J$80/(1+((E$122+$A123*WACC!$B$7)*($K$54/WACC!$B$8)))^$J$81) + (($J$80*(1+$K$55)/(((E$122+$A123*WACC!$B$7)*($K$54/WACC!$B$8))-$K$55))/(1+((E$122+$A123*WACC!$B$7)*($K$54/WACC!$B$8)))^$K$81)) - $C$14)/$C$9</f>
        <v/>
      </c>
      <c r="F123" s="44">
        <f>((($F$80/(1+((F$122+$A123*WACC!$B$7)*($K$54/WACC!$B$8)))^$F$81 + $G$80/(1+((F$122+$A123*WACC!$B$7)*($K$54/WACC!$B$8)))^$G$81 + $H$80/(1+((F$122+$A123*WACC!$B$7)*($K$54/WACC!$B$8)))^$H$81 + $I$80/(1+((F$122+$A123*WACC!$B$7)*($K$54/WACC!$B$8)))^$I$81 + $J$80/(1+((F$122+$A123*WACC!$B$7)*($K$54/WACC!$B$8)))^$J$81) + (($J$80*(1+$K$55)/(((F$122+$A123*WACC!$B$7)*($K$54/WACC!$B$8))-$K$55))/(1+((F$122+$A123*WACC!$B$7)*($K$54/WACC!$B$8)))^$K$81)) - $C$14)/$C$9</f>
        <v/>
      </c>
    </row>
    <row r="124">
      <c r="A124" s="48" t="n">
        <v>0.99</v>
      </c>
      <c r="B124" s="44">
        <f>((($F$80/(1+((B$122+$A124*WACC!$B$7)*($K$54/WACC!$B$8)))^$F$81 + $G$80/(1+((B$122+$A124*WACC!$B$7)*($K$54/WACC!$B$8)))^$G$81 + $H$80/(1+((B$122+$A124*WACC!$B$7)*($K$54/WACC!$B$8)))^$H$81 + $I$80/(1+((B$122+$A124*WACC!$B$7)*($K$54/WACC!$B$8)))^$I$81 + $J$80/(1+((B$122+$A124*WACC!$B$7)*($K$54/WACC!$B$8)))^$J$81) + (($J$80*(1+$K$55)/(((B$122+$A124*WACC!$B$7)*($K$54/WACC!$B$8))-$K$55))/(1+((B$122+$A124*WACC!$B$7)*($K$54/WACC!$B$8)))^$K$81)) - $C$14)/$C$9</f>
        <v/>
      </c>
      <c r="C124" s="44">
        <f>((($F$80/(1+((C$122+$A124*WACC!$B$7)*($K$54/WACC!$B$8)))^$F$81 + $G$80/(1+((C$122+$A124*WACC!$B$7)*($K$54/WACC!$B$8)))^$G$81 + $H$80/(1+((C$122+$A124*WACC!$B$7)*($K$54/WACC!$B$8)))^$H$81 + $I$80/(1+((C$122+$A124*WACC!$B$7)*($K$54/WACC!$B$8)))^$I$81 + $J$80/(1+((C$122+$A124*WACC!$B$7)*($K$54/WACC!$B$8)))^$J$81) + (($J$80*(1+$K$55)/(((C$122+$A124*WACC!$B$7)*($K$54/WACC!$B$8))-$K$55))/(1+((C$122+$A124*WACC!$B$7)*($K$54/WACC!$B$8)))^$K$81)) - $C$14)/$C$9</f>
        <v/>
      </c>
      <c r="D124" s="44">
        <f>((($F$80/(1+((D$122+$A124*WACC!$B$7)*($K$54/WACC!$B$8)))^$F$81 + $G$80/(1+((D$122+$A124*WACC!$B$7)*($K$54/WACC!$B$8)))^$G$81 + $H$80/(1+((D$122+$A124*WACC!$B$7)*($K$54/WACC!$B$8)))^$H$81 + $I$80/(1+((D$122+$A124*WACC!$B$7)*($K$54/WACC!$B$8)))^$I$81 + $J$80/(1+((D$122+$A124*WACC!$B$7)*($K$54/WACC!$B$8)))^$J$81) + (($J$80*(1+$K$55)/(((D$122+$A124*WACC!$B$7)*($K$54/WACC!$B$8))-$K$55))/(1+((D$122+$A124*WACC!$B$7)*($K$54/WACC!$B$8)))^$K$81)) - $C$14)/$C$9</f>
        <v/>
      </c>
      <c r="E124" s="44">
        <f>((($F$80/(1+((E$122+$A124*WACC!$B$7)*($K$54/WACC!$B$8)))^$F$81 + $G$80/(1+((E$122+$A124*WACC!$B$7)*($K$54/WACC!$B$8)))^$G$81 + $H$80/(1+((E$122+$A124*WACC!$B$7)*($K$54/WACC!$B$8)))^$H$81 + $I$80/(1+((E$122+$A124*WACC!$B$7)*($K$54/WACC!$B$8)))^$I$81 + $J$80/(1+((E$122+$A124*WACC!$B$7)*($K$54/WACC!$B$8)))^$J$81) + (($J$80*(1+$K$55)/(((E$122+$A124*WACC!$B$7)*($K$54/WACC!$B$8))-$K$55))/(1+((E$122+$A124*WACC!$B$7)*($K$54/WACC!$B$8)))^$K$81)) - $C$14)/$C$9</f>
        <v/>
      </c>
      <c r="F124" s="44">
        <f>((($F$80/(1+((F$122+$A124*WACC!$B$7)*($K$54/WACC!$B$8)))^$F$81 + $G$80/(1+((F$122+$A124*WACC!$B$7)*($K$54/WACC!$B$8)))^$G$81 + $H$80/(1+((F$122+$A124*WACC!$B$7)*($K$54/WACC!$B$8)))^$H$81 + $I$80/(1+((F$122+$A124*WACC!$B$7)*($K$54/WACC!$B$8)))^$I$81 + $J$80/(1+((F$122+$A124*WACC!$B$7)*($K$54/WACC!$B$8)))^$J$81) + (($J$80*(1+$K$55)/(((F$122+$A124*WACC!$B$7)*($K$54/WACC!$B$8))-$K$55))/(1+((F$122+$A124*WACC!$B$7)*($K$54/WACC!$B$8)))^$K$81)) - $C$14)/$C$9</f>
        <v/>
      </c>
    </row>
    <row r="125">
      <c r="A125" s="48" t="n">
        <v>1.09</v>
      </c>
      <c r="B125" s="44">
        <f>((($F$80/(1+((B$122+$A125*WACC!$B$7)*($K$54/WACC!$B$8)))^$F$81 + $G$80/(1+((B$122+$A125*WACC!$B$7)*($K$54/WACC!$B$8)))^$G$81 + $H$80/(1+((B$122+$A125*WACC!$B$7)*($K$54/WACC!$B$8)))^$H$81 + $I$80/(1+((B$122+$A125*WACC!$B$7)*($K$54/WACC!$B$8)))^$I$81 + $J$80/(1+((B$122+$A125*WACC!$B$7)*($K$54/WACC!$B$8)))^$J$81) + (($J$80*(1+$K$55)/(((B$122+$A125*WACC!$B$7)*($K$54/WACC!$B$8))-$K$55))/(1+((B$122+$A125*WACC!$B$7)*($K$54/WACC!$B$8)))^$K$81)) - $C$14)/$C$9</f>
        <v/>
      </c>
      <c r="C125" s="44">
        <f>((($F$80/(1+((C$122+$A125*WACC!$B$7)*($K$54/WACC!$B$8)))^$F$81 + $G$80/(1+((C$122+$A125*WACC!$B$7)*($K$54/WACC!$B$8)))^$G$81 + $H$80/(1+((C$122+$A125*WACC!$B$7)*($K$54/WACC!$B$8)))^$H$81 + $I$80/(1+((C$122+$A125*WACC!$B$7)*($K$54/WACC!$B$8)))^$I$81 + $J$80/(1+((C$122+$A125*WACC!$B$7)*($K$54/WACC!$B$8)))^$J$81) + (($J$80*(1+$K$55)/(((C$122+$A125*WACC!$B$7)*($K$54/WACC!$B$8))-$K$55))/(1+((C$122+$A125*WACC!$B$7)*($K$54/WACC!$B$8)))^$K$81)) - $C$14)/$C$9</f>
        <v/>
      </c>
      <c r="D125" s="43">
        <f>((($F$80/(1+((D$122+$A125*WACC!$B$7)*($K$54/WACC!$B$8)))^$F$81 + $G$80/(1+((D$122+$A125*WACC!$B$7)*($K$54/WACC!$B$8)))^$G$81 + $H$80/(1+((D$122+$A125*WACC!$B$7)*($K$54/WACC!$B$8)))^$H$81 + $I$80/(1+((D$122+$A125*WACC!$B$7)*($K$54/WACC!$B$8)))^$I$81 + $J$80/(1+((D$122+$A125*WACC!$B$7)*($K$54/WACC!$B$8)))^$J$81) + (($J$80*(1+$K$55)/(((D$122+$A125*WACC!$B$7)*($K$54/WACC!$B$8))-$K$55))/(1+((D$122+$A125*WACC!$B$7)*($K$54/WACC!$B$8)))^$K$81)) - $C$14)/$C$9</f>
        <v/>
      </c>
      <c r="E125" s="44">
        <f>((($F$80/(1+((E$122+$A125*WACC!$B$7)*($K$54/WACC!$B$8)))^$F$81 + $G$80/(1+((E$122+$A125*WACC!$B$7)*($K$54/WACC!$B$8)))^$G$81 + $H$80/(1+((E$122+$A125*WACC!$B$7)*($K$54/WACC!$B$8)))^$H$81 + $I$80/(1+((E$122+$A125*WACC!$B$7)*($K$54/WACC!$B$8)))^$I$81 + $J$80/(1+((E$122+$A125*WACC!$B$7)*($K$54/WACC!$B$8)))^$J$81) + (($J$80*(1+$K$55)/(((E$122+$A125*WACC!$B$7)*($K$54/WACC!$B$8))-$K$55))/(1+((E$122+$A125*WACC!$B$7)*($K$54/WACC!$B$8)))^$K$81)) - $C$14)/$C$9</f>
        <v/>
      </c>
      <c r="F125" s="44">
        <f>((($F$80/(1+((F$122+$A125*WACC!$B$7)*($K$54/WACC!$B$8)))^$F$81 + $G$80/(1+((F$122+$A125*WACC!$B$7)*($K$54/WACC!$B$8)))^$G$81 + $H$80/(1+((F$122+$A125*WACC!$B$7)*($K$54/WACC!$B$8)))^$H$81 + $I$80/(1+((F$122+$A125*WACC!$B$7)*($K$54/WACC!$B$8)))^$I$81 + $J$80/(1+((F$122+$A125*WACC!$B$7)*($K$54/WACC!$B$8)))^$J$81) + (($J$80*(1+$K$55)/(((F$122+$A125*WACC!$B$7)*($K$54/WACC!$B$8))-$K$55))/(1+((F$122+$A125*WACC!$B$7)*($K$54/WACC!$B$8)))^$K$81)) - $C$14)/$C$9</f>
        <v/>
      </c>
    </row>
    <row r="126">
      <c r="A126" s="48" t="n">
        <v>1.19</v>
      </c>
      <c r="B126" s="44">
        <f>((($F$80/(1+((B$122+$A126*WACC!$B$7)*($K$54/WACC!$B$8)))^$F$81 + $G$80/(1+((B$122+$A126*WACC!$B$7)*($K$54/WACC!$B$8)))^$G$81 + $H$80/(1+((B$122+$A126*WACC!$B$7)*($K$54/WACC!$B$8)))^$H$81 + $I$80/(1+((B$122+$A126*WACC!$B$7)*($K$54/WACC!$B$8)))^$I$81 + $J$80/(1+((B$122+$A126*WACC!$B$7)*($K$54/WACC!$B$8)))^$J$81) + (($J$80*(1+$K$55)/(((B$122+$A126*WACC!$B$7)*($K$54/WACC!$B$8))-$K$55))/(1+((B$122+$A126*WACC!$B$7)*($K$54/WACC!$B$8)))^$K$81)) - $C$14)/$C$9</f>
        <v/>
      </c>
      <c r="C126" s="44">
        <f>((($F$80/(1+((C$122+$A126*WACC!$B$7)*($K$54/WACC!$B$8)))^$F$81 + $G$80/(1+((C$122+$A126*WACC!$B$7)*($K$54/WACC!$B$8)))^$G$81 + $H$80/(1+((C$122+$A126*WACC!$B$7)*($K$54/WACC!$B$8)))^$H$81 + $I$80/(1+((C$122+$A126*WACC!$B$7)*($K$54/WACC!$B$8)))^$I$81 + $J$80/(1+((C$122+$A126*WACC!$B$7)*($K$54/WACC!$B$8)))^$J$81) + (($J$80*(1+$K$55)/(((C$122+$A126*WACC!$B$7)*($K$54/WACC!$B$8))-$K$55))/(1+((C$122+$A126*WACC!$B$7)*($K$54/WACC!$B$8)))^$K$81)) - $C$14)/$C$9</f>
        <v/>
      </c>
      <c r="D126" s="44">
        <f>((($F$80/(1+((D$122+$A126*WACC!$B$7)*($K$54/WACC!$B$8)))^$F$81 + $G$80/(1+((D$122+$A126*WACC!$B$7)*($K$54/WACC!$B$8)))^$G$81 + $H$80/(1+((D$122+$A126*WACC!$B$7)*($K$54/WACC!$B$8)))^$H$81 + $I$80/(1+((D$122+$A126*WACC!$B$7)*($K$54/WACC!$B$8)))^$I$81 + $J$80/(1+((D$122+$A126*WACC!$B$7)*($K$54/WACC!$B$8)))^$J$81) + (($J$80*(1+$K$55)/(((D$122+$A126*WACC!$B$7)*($K$54/WACC!$B$8))-$K$55))/(1+((D$122+$A126*WACC!$B$7)*($K$54/WACC!$B$8)))^$K$81)) - $C$14)/$C$9</f>
        <v/>
      </c>
      <c r="E126" s="44">
        <f>((($F$80/(1+((E$122+$A126*WACC!$B$7)*($K$54/WACC!$B$8)))^$F$81 + $G$80/(1+((E$122+$A126*WACC!$B$7)*($K$54/WACC!$B$8)))^$G$81 + $H$80/(1+((E$122+$A126*WACC!$B$7)*($K$54/WACC!$B$8)))^$H$81 + $I$80/(1+((E$122+$A126*WACC!$B$7)*($K$54/WACC!$B$8)))^$I$81 + $J$80/(1+((E$122+$A126*WACC!$B$7)*($K$54/WACC!$B$8)))^$J$81) + (($J$80*(1+$K$55)/(((E$122+$A126*WACC!$B$7)*($K$54/WACC!$B$8))-$K$55))/(1+((E$122+$A126*WACC!$B$7)*($K$54/WACC!$B$8)))^$K$81)) - $C$14)/$C$9</f>
        <v/>
      </c>
      <c r="F126" s="44">
        <f>((($F$80/(1+((F$122+$A126*WACC!$B$7)*($K$54/WACC!$B$8)))^$F$81 + $G$80/(1+((F$122+$A126*WACC!$B$7)*($K$54/WACC!$B$8)))^$G$81 + $H$80/(1+((F$122+$A126*WACC!$B$7)*($K$54/WACC!$B$8)))^$H$81 + $I$80/(1+((F$122+$A126*WACC!$B$7)*($K$54/WACC!$B$8)))^$I$81 + $J$80/(1+((F$122+$A126*WACC!$B$7)*($K$54/WACC!$B$8)))^$J$81) + (($J$80*(1+$K$55)/(((F$122+$A126*WACC!$B$7)*($K$54/WACC!$B$8))-$K$55))/(1+((F$122+$A126*WACC!$B$7)*($K$54/WACC!$B$8)))^$K$81)) - $C$14)/$C$9</f>
        <v/>
      </c>
    </row>
    <row r="127">
      <c r="A127" s="48" t="n">
        <v>1.29</v>
      </c>
      <c r="B127" s="44">
        <f>((($F$80/(1+((B$122+$A127*WACC!$B$7)*($K$54/WACC!$B$8)))^$F$81 + $G$80/(1+((B$122+$A127*WACC!$B$7)*($K$54/WACC!$B$8)))^$G$81 + $H$80/(1+((B$122+$A127*WACC!$B$7)*($K$54/WACC!$B$8)))^$H$81 + $I$80/(1+((B$122+$A127*WACC!$B$7)*($K$54/WACC!$B$8)))^$I$81 + $J$80/(1+((B$122+$A127*WACC!$B$7)*($K$54/WACC!$B$8)))^$J$81) + (($J$80*(1+$K$55)/(((B$122+$A127*WACC!$B$7)*($K$54/WACC!$B$8))-$K$55))/(1+((B$122+$A127*WACC!$B$7)*($K$54/WACC!$B$8)))^$K$81)) - $C$14)/$C$9</f>
        <v/>
      </c>
      <c r="C127" s="44">
        <f>((($F$80/(1+((C$122+$A127*WACC!$B$7)*($K$54/WACC!$B$8)))^$F$81 + $G$80/(1+((C$122+$A127*WACC!$B$7)*($K$54/WACC!$B$8)))^$G$81 + $H$80/(1+((C$122+$A127*WACC!$B$7)*($K$54/WACC!$B$8)))^$H$81 + $I$80/(1+((C$122+$A127*WACC!$B$7)*($K$54/WACC!$B$8)))^$I$81 + $J$80/(1+((C$122+$A127*WACC!$B$7)*($K$54/WACC!$B$8)))^$J$81) + (($J$80*(1+$K$55)/(((C$122+$A127*WACC!$B$7)*($K$54/WACC!$B$8))-$K$55))/(1+((C$122+$A127*WACC!$B$7)*($K$54/WACC!$B$8)))^$K$81)) - $C$14)/$C$9</f>
        <v/>
      </c>
      <c r="D127" s="44">
        <f>((($F$80/(1+((D$122+$A127*WACC!$B$7)*($K$54/WACC!$B$8)))^$F$81 + $G$80/(1+((D$122+$A127*WACC!$B$7)*($K$54/WACC!$B$8)))^$G$81 + $H$80/(1+((D$122+$A127*WACC!$B$7)*($K$54/WACC!$B$8)))^$H$81 + $I$80/(1+((D$122+$A127*WACC!$B$7)*($K$54/WACC!$B$8)))^$I$81 + $J$80/(1+((D$122+$A127*WACC!$B$7)*($K$54/WACC!$B$8)))^$J$81) + (($J$80*(1+$K$55)/(((D$122+$A127*WACC!$B$7)*($K$54/WACC!$B$8))-$K$55))/(1+((D$122+$A127*WACC!$B$7)*($K$54/WACC!$B$8)))^$K$81)) - $C$14)/$C$9</f>
        <v/>
      </c>
      <c r="E127" s="44">
        <f>((($F$80/(1+((E$122+$A127*WACC!$B$7)*($K$54/WACC!$B$8)))^$F$81 + $G$80/(1+((E$122+$A127*WACC!$B$7)*($K$54/WACC!$B$8)))^$G$81 + $H$80/(1+((E$122+$A127*WACC!$B$7)*($K$54/WACC!$B$8)))^$H$81 + $I$80/(1+((E$122+$A127*WACC!$B$7)*($K$54/WACC!$B$8)))^$I$81 + $J$80/(1+((E$122+$A127*WACC!$B$7)*($K$54/WACC!$B$8)))^$J$81) + (($J$80*(1+$K$55)/(((E$122+$A127*WACC!$B$7)*($K$54/WACC!$B$8))-$K$55))/(1+((E$122+$A127*WACC!$B$7)*($K$54/WACC!$B$8)))^$K$81)) - $C$14)/$C$9</f>
        <v/>
      </c>
      <c r="F127" s="44">
        <f>((($F$80/(1+((F$122+$A127*WACC!$B$7)*($K$54/WACC!$B$8)))^$F$81 + $G$80/(1+((F$122+$A127*WACC!$B$7)*($K$54/WACC!$B$8)))^$G$81 + $H$80/(1+((F$122+$A127*WACC!$B$7)*($K$54/WACC!$B$8)))^$H$81 + $I$80/(1+((F$122+$A127*WACC!$B$7)*($K$54/WACC!$B$8)))^$I$81 + $J$80/(1+((F$122+$A127*WACC!$B$7)*($K$54/WACC!$B$8)))^$J$81) + (($J$80*(1+$K$55)/(((F$122+$A127*WACC!$B$7)*($K$54/WACC!$B$8))-$K$55))/(1+((F$122+$A127*WACC!$B$7)*($K$54/WACC!$B$8)))^$K$81)) - $C$14)/$C$9</f>
        <v/>
      </c>
    </row>
  </sheetData>
  <mergeCells count="12">
    <mergeCell ref="A69:K69"/>
    <mergeCell ref="A121:F121"/>
    <mergeCell ref="A112:F112"/>
    <mergeCell ref="A78:K78"/>
    <mergeCell ref="A88:D88"/>
    <mergeCell ref="A7:K7"/>
    <mergeCell ref="A103:F103"/>
    <mergeCell ref="A57:K57"/>
    <mergeCell ref="A17:K17"/>
    <mergeCell ref="A47:K47"/>
    <mergeCell ref="A37:K37"/>
    <mergeCell ref="A27:K2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2026-08-19T06:45:22Z</dcterms:created>
  <dcterms:modified xmlns:dcterms="http://purl.org/dc/terms/" xmlns:xsi="http://www.w3.org/2001/XMLSchema-instance" xsi:type="dcterms:W3CDTF">2026-08-19T06:45:22Z</dcterms:modified>
</cp:coreProperties>
</file>