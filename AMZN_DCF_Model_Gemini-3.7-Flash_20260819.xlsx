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" sheetId="1" state="visible" r:id="rId1"/>
    <sheet xmlns:r="http://schemas.openxmlformats.org/officeDocument/2006/relationships" name="WAC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.00"/>
    <numFmt numFmtId="165" formatCode="#,##0.0"/>
    <numFmt numFmtId="166" formatCode="$#,##0"/>
    <numFmt numFmtId="167" formatCode="0.0%"/>
    <numFmt numFmtId="168" formatCode="$#,##0;($#,##0);-"/>
    <numFmt numFmtId="169" formatCode="0.0"/>
    <numFmt numFmtId="170" formatCode="0.0000"/>
    <numFmt numFmtId="171" formatCode="+0.0%;-0.0%;0.0%"/>
  </numFmts>
  <fonts count="11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i val="1"/>
      <color rgb="00595959"/>
      <sz val="10"/>
    </font>
    <font>
      <name val="Calibri"/>
      <b val="1"/>
      <color rgb="00000000"/>
      <sz val="10"/>
    </font>
    <font>
      <name val="Calibri"/>
      <b val="1"/>
      <color rgb="000000FF"/>
      <sz val="10"/>
    </font>
    <font>
      <name val="Calibri"/>
      <b val="1"/>
      <color rgb="001F4E79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000000"/>
      <sz val="11"/>
    </font>
    <font>
      <name val="Calibri"/>
      <color rgb="00008000"/>
      <sz val="10"/>
    </font>
  </fonts>
  <fills count="7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 indent="1"/>
    </xf>
    <xf numFmtId="0" fontId="7" fillId="0" borderId="0" pivotButton="0" quotePrefix="0" xfId="0"/>
    <xf numFmtId="164" fontId="8" fillId="4" borderId="0" applyAlignment="1" pivotButton="0" quotePrefix="0" xfId="0">
      <alignment horizontal="right" vertical="center"/>
    </xf>
    <xf numFmtId="165" fontId="8" fillId="4" borderId="0" applyAlignment="1" pivotButton="0" quotePrefix="0" xfId="0">
      <alignment horizontal="right" vertical="center"/>
    </xf>
    <xf numFmtId="166" fontId="7" fillId="0" borderId="0" applyAlignment="1" pivotButton="0" quotePrefix="0" xfId="0">
      <alignment horizontal="right" vertical="center"/>
    </xf>
    <xf numFmtId="166" fontId="8" fillId="4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0" fontId="3" fillId="5" borderId="0" pivotButton="0" quotePrefix="0" xfId="0"/>
    <xf numFmtId="0" fontId="3" fillId="5" borderId="0" applyAlignment="1" pivotButton="0" quotePrefix="0" xfId="0">
      <alignment horizontal="center" vertical="center"/>
    </xf>
    <xf numFmtId="167" fontId="8" fillId="4" borderId="0" applyAlignment="1" pivotButton="0" quotePrefix="0" xfId="0">
      <alignment horizontal="right" vertical="center"/>
    </xf>
    <xf numFmtId="0" fontId="3" fillId="2" borderId="0" pivotButton="0" quotePrefix="0" xfId="0"/>
    <xf numFmtId="167" fontId="3" fillId="2" borderId="0" applyAlignment="1" pivotButton="0" quotePrefix="0" xfId="0">
      <alignment horizontal="right" vertical="center"/>
    </xf>
    <xf numFmtId="167" fontId="7" fillId="0" borderId="0" applyAlignment="1" pivotButton="0" quotePrefix="0" xfId="0">
      <alignment horizontal="right" vertical="center"/>
    </xf>
    <xf numFmtId="168" fontId="8" fillId="4" borderId="0" applyAlignment="1" pivotButton="0" quotePrefix="0" xfId="0">
      <alignment horizontal="right" vertical="center"/>
    </xf>
    <xf numFmtId="168" fontId="7" fillId="0" borderId="0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166" fontId="3" fillId="6" borderId="1" applyAlignment="1" pivotButton="0" quotePrefix="0" xfId="0">
      <alignment horizontal="right" vertical="center"/>
    </xf>
    <xf numFmtId="169" fontId="7" fillId="0" borderId="0" applyAlignment="1" pivotButton="0" quotePrefix="0" xfId="0">
      <alignment horizontal="center" vertical="center"/>
    </xf>
    <xf numFmtId="170" fontId="7" fillId="0" borderId="0" applyAlignment="1" pivotButton="0" quotePrefix="0" xfId="0">
      <alignment horizontal="right" vertical="center"/>
    </xf>
    <xf numFmtId="166" fontId="3" fillId="6" borderId="0" applyAlignment="1" pivotButton="0" quotePrefix="0" xfId="0">
      <alignment horizontal="right" vertical="center"/>
    </xf>
    <xf numFmtId="166" fontId="3" fillId="5" borderId="0" applyAlignment="1" pivotButton="0" quotePrefix="0" xfId="0">
      <alignment horizontal="right" vertical="center"/>
    </xf>
    <xf numFmtId="0" fontId="3" fillId="6" borderId="0" pivotButton="0" quotePrefix="0" xfId="0"/>
    <xf numFmtId="165" fontId="7" fillId="0" borderId="0" applyAlignment="1" pivotButton="0" quotePrefix="0" xfId="0">
      <alignment horizontal="right" vertical="center"/>
    </xf>
    <xf numFmtId="0" fontId="9" fillId="6" borderId="0" pivotButton="0" quotePrefix="0" xfId="0"/>
    <xf numFmtId="164" fontId="9" fillId="6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0" fontId="9" fillId="0" borderId="0" pivotButton="0" quotePrefix="0" xfId="0"/>
    <xf numFmtId="171" fontId="9" fillId="2" borderId="0" applyAlignment="1" pivotButton="0" quotePrefix="0" xfId="0">
      <alignment horizontal="right" vertical="center"/>
    </xf>
    <xf numFmtId="167" fontId="3" fillId="5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right" vertical="center"/>
    </xf>
    <xf numFmtId="10" fontId="3" fillId="5" borderId="0" applyAlignment="1" pivotButton="0" quotePrefix="0" xfId="0">
      <alignment horizontal="center" vertical="center"/>
    </xf>
    <xf numFmtId="2" fontId="3" fillId="5" borderId="0" applyAlignment="1" pivotButton="0" quotePrefix="0" xfId="0">
      <alignment horizontal="center" vertical="center"/>
    </xf>
    <xf numFmtId="10" fontId="8" fillId="4" borderId="0" applyAlignment="1" pivotButton="0" quotePrefix="0" xfId="0">
      <alignment horizontal="right" vertical="center"/>
    </xf>
    <xf numFmtId="2" fontId="8" fillId="4" borderId="0" applyAlignment="1" pivotButton="0" quotePrefix="0" xfId="0">
      <alignment horizontal="right" vertical="center"/>
    </xf>
    <xf numFmtId="10" fontId="9" fillId="6" borderId="0" applyAlignment="1" pivotButton="0" quotePrefix="0" xfId="0">
      <alignment horizontal="right" vertical="center"/>
    </xf>
    <xf numFmtId="49" fontId="8" fillId="4" borderId="0" applyAlignment="1" pivotButton="0" quotePrefix="0" xfId="0">
      <alignment horizontal="right" vertical="center"/>
    </xf>
    <xf numFmtId="10" fontId="10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165" fontId="10" fillId="0" borderId="0" applyAlignment="1" pivotButton="0" quotePrefix="0" xfId="0">
      <alignment horizontal="right" vertical="center"/>
    </xf>
    <xf numFmtId="166" fontId="10" fillId="0" borderId="0" applyAlignment="1" pivotButton="0" quotePrefix="0" xfId="0">
      <alignment horizontal="right" vertical="center"/>
    </xf>
    <xf numFmtId="167" fontId="3" fillId="0" borderId="0" applyAlignment="1" pivotButton="0" quotePrefix="0" xfId="0">
      <alignment horizontal="right" vertical="center"/>
    </xf>
    <xf numFmtId="10" fontId="7" fillId="0" borderId="0" applyAlignment="1" pivotButton="0" quotePrefix="0" xfId="0">
      <alignment horizontal="right" vertical="center"/>
    </xf>
    <xf numFmtId="10" fontId="9" fillId="6" borderId="1" applyAlignment="1" pivotButton="0" quotePrefix="0" xfId="0">
      <alignment horizontal="right" vertical="center"/>
    </xf>
    <xf numFmtId="10" fontId="4" fillId="2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Model Author</author>
    <author>Equity Research</author>
    <author>Sensitivity Analysis</author>
  </authors>
  <commentList>
    <comment ref="B4" authorId="0" shapeId="0">
      <text>
        <t>Scenario Selector: 1 = Bear Case, 2 = Base Case (Consensus), 3 = Bull Case</t>
      </text>
    </comment>
    <comment ref="B8" authorId="1" shapeId="0">
      <text>
        <t>Source: Market Data as of Aug 19, 2026 Close price</t>
      </text>
    </comment>
    <comment ref="B9" authorId="1" shapeId="0">
      <text>
        <t>Source: SEC 10-Q Q2 2026 Diluted Share Count</t>
      </text>
    </comment>
    <comment ref="B11" authorId="1" shapeId="0">
      <text>
        <t>Source: SEC 10-Q Q2 2026 Balance Sheet ($86.8B Cash + $36.2B Mkt Sec)</t>
      </text>
    </comment>
    <comment ref="B12" authorId="1" shapeId="0">
      <text>
        <t>Source: SEC 10-Q Q2 2026 Short-term + Long-term Debt &amp; Finance Leases</t>
      </text>
    </comment>
    <comment ref="F19" authorId="1" shapeId="0">
      <text>
        <t>Source: Bear Case - Cloud deceleration &amp; retail macroeconomic headwinds</t>
      </text>
    </comment>
    <comment ref="F20" authorId="1" shapeId="0">
      <text>
        <t>Source: Bear Case - Limited margin leverage under competitive AI pressure</t>
      </text>
    </comment>
    <comment ref="F21" authorId="1" shapeId="0">
      <text>
        <t>Source: Bear Case - Standard depreciation curve</t>
      </text>
    </comment>
    <comment ref="F22" authorId="1" shapeId="0">
      <text>
        <t>Source: Bear Case - Prolonged high CapEx requirements</t>
      </text>
    </comment>
    <comment ref="F23" authorId="1" shapeId="0">
      <text>
        <t>Source: Bear Case - Conservative working capital cash source</t>
      </text>
    </comment>
    <comment ref="F24" authorId="1" shapeId="0">
      <text>
        <t>Source: Statutory Federal + State Effective Corporate Tax Rate</t>
      </text>
    </comment>
    <comment ref="F25" authorId="1" shapeId="0">
      <text>
        <t>Source: Bear Case Terminal Perpetuity Growth Rate</t>
      </text>
    </comment>
    <comment ref="F26" authorId="1" shapeId="0">
      <text>
        <t>Source: Bear Case Cost of Capital with elevated operational risk</t>
      </text>
    </comment>
    <comment ref="F29" authorId="1" shapeId="0">
      <text>
        <t>Source: Base Case - Consensus AWS expansion, advertising growth &amp; retail efficiency</t>
      </text>
    </comment>
    <comment ref="F30" authorId="1" shapeId="0">
      <text>
        <t>Source: Base Case - Operating leverage &amp; fulfillment regionalization benefits</t>
      </text>
    </comment>
    <comment ref="F31" authorId="1" shapeId="0">
      <text>
        <t>Source: Base Case - Depreciation schedule scaling with server/fulfillment assets</t>
      </text>
    </comment>
    <comment ref="F32" authorId="1" shapeId="0">
      <text>
        <t>Source: Base Case - CapEx normalizes from peak AI infrastructure buildout</t>
      </text>
    </comment>
    <comment ref="F33" authorId="1" shapeId="0">
      <text>
        <t>Source: Base Case - Amazon negative working capital operating cycle</t>
      </text>
    </comment>
    <comment ref="F34" authorId="1" shapeId="0">
      <text>
        <t>Source: Statutory Federal + State Effective Corporate Tax Rate</t>
      </text>
    </comment>
    <comment ref="F35" authorId="1" shapeId="0">
      <text>
        <t>Source: Base Case Long-Term GDP + E-commerce secular growth</t>
      </text>
    </comment>
    <comment ref="F36" authorId="1" shapeId="0">
      <text>
        <t>Source: Base Case WACC from Capital Asset Pricing Model</t>
      </text>
    </comment>
    <comment ref="F39" authorId="1" shapeId="0">
      <text>
        <t>Source: Bull Case - AI monetisation surge in AWS + global e-commerce re-acceleration</t>
      </text>
    </comment>
    <comment ref="F40" authorId="1" shapeId="0">
      <text>
        <t>Source: Bull Case - High margin AWS software &amp; retail media network expansion</t>
      </text>
    </comment>
    <comment ref="F41" authorId="1" shapeId="0">
      <text>
        <t>Source: Bull Case - High asset efficiency &amp; longer hardware lifecycle</t>
      </text>
    </comment>
    <comment ref="F42" authorId="1" shapeId="0">
      <text>
        <t>Source: Bull Case - Rapid custom silicon ROI &amp; CapEx optimization</t>
      </text>
    </comment>
    <comment ref="F43" authorId="1" shapeId="0">
      <text>
        <t>Source: Bull Case - Working capital optimization</t>
      </text>
    </comment>
    <comment ref="F44" authorId="1" shapeId="0">
      <text>
        <t>Source: Statutory Federal + State Effective Corporate Tax Rate</t>
      </text>
    </comment>
    <comment ref="F45" authorId="1" shapeId="0">
      <text>
        <t>Source: Bull Case Terminal Perpetuity Growth Rate</t>
      </text>
    </comment>
    <comment ref="F46" authorId="1" shapeId="0">
      <text>
        <t>Source: Bull Case WACC with reduced operational risk</t>
      </text>
    </comment>
    <comment ref="B60" authorId="1" shapeId="0">
      <text>
        <t>Source: Amazon SEC 10-K FY2022 Consolidated Statement of Operations</t>
      </text>
    </comment>
    <comment ref="C60" authorId="1" shapeId="0">
      <text>
        <t>Source: Amazon SEC 10-K FY2023 Consolidated Statement of Operations</t>
      </text>
    </comment>
    <comment ref="D60" authorId="1" shapeId="0">
      <text>
        <t>Source: Amazon SEC 10-K FY2024 Consolidated Statement of Operations</t>
      </text>
    </comment>
    <comment ref="E60" authorId="1" shapeId="0">
      <text>
        <t>Source: Amazon SEC 10-K FY2025 Consolidated Statement of Operations</t>
      </text>
    </comment>
    <comment ref="B64" authorId="1" shapeId="0">
      <text>
        <t>Source: Amazon SEC 10-K FY2022 Operating Income</t>
      </text>
    </comment>
    <comment ref="C64" authorId="1" shapeId="0">
      <text>
        <t>Source: Amazon SEC 10-K FY2023 Operating Income</t>
      </text>
    </comment>
    <comment ref="D64" authorId="1" shapeId="0">
      <text>
        <t>Source: Amazon SEC 10-K FY2024 Operating Income</t>
      </text>
    </comment>
    <comment ref="E64" authorId="1" shapeId="0">
      <text>
        <t>Source: Amazon SEC 10-K FY2025 Operating Income</t>
      </text>
    </comment>
    <comment ref="B68" authorId="1" shapeId="0">
      <text>
        <t>Source: Amazon SEC 10-K FY2022 Cash Flow Statement D&amp;A</t>
      </text>
    </comment>
    <comment ref="C68" authorId="1" shapeId="0">
      <text>
        <t>Source: Amazon SEC 10-K FY2023 Cash Flow Statement D&amp;A</t>
      </text>
    </comment>
    <comment ref="D68" authorId="1" shapeId="0">
      <text>
        <t>Source: Amazon SEC 10-K FY2024 Cash Flow Statement D&amp;A</t>
      </text>
    </comment>
    <comment ref="E68" authorId="1" shapeId="0">
      <text>
        <t>Source: Amazon SEC 10-K FY2025 Cash Flow Statement D&amp;A</t>
      </text>
    </comment>
    <comment ref="B69" authorId="1" shapeId="0">
      <text>
        <t>Source: Amazon SEC 10-K FY2022 Purchases of Property and Equipment</t>
      </text>
    </comment>
    <comment ref="C69" authorId="1" shapeId="0">
      <text>
        <t>Source: Amazon SEC 10-K FY2023 Purchases of Property and Equipment</t>
      </text>
    </comment>
    <comment ref="D69" authorId="1" shapeId="0">
      <text>
        <t>Source: Amazon SEC 10-K FY2024 Purchases of Property and Equipment</t>
      </text>
    </comment>
    <comment ref="E69" authorId="1" shapeId="0">
      <text>
        <t>Source: Amazon SEC 10-K FY2025 Purchases of Property and Equipment</t>
      </text>
    </comment>
    <comment ref="K76" authorId="1" shapeId="0">
      <text>
        <t>Terminal Value (Perpetuity Growth Method) = Final Year FCF * (1 + g) / (WACC - g)</t>
      </text>
    </comment>
    <comment ref="D100" authorId="2" shapeId="0">
      <text>
        <t>Base Case DCF Implied Value Anchor</t>
      </text>
    </comment>
  </commentList>
</comments>
</file>

<file path=xl/comments/comment2.xml><?xml version="1.0" encoding="utf-8"?>
<comments xmlns="http://schemas.openxmlformats.org/spreadsheetml/2006/main">
  <authors>
    <author>Equity Research</author>
    <author>Valuation Lead</author>
  </authors>
  <commentList>
    <comment ref="B5" authorId="0" shapeId="0">
      <text>
        <t>Source: US Department of Treasury 10Y Yield as of Aug 2026</t>
      </text>
    </comment>
    <comment ref="B6" authorId="0" shapeId="0">
      <text>
        <t>Source: Bloomberg / S&amp;P Capital IQ 5-Year Monthly Beta</t>
      </text>
    </comment>
    <comment ref="B7" authorId="0" shapeId="0">
      <text>
        <t>Source: Damodaran Implied US ERP / Long-term market benchmark</t>
      </text>
    </comment>
    <comment ref="B11" authorId="0" shapeId="0">
      <text>
        <t>Source: S&amp;P / Moody's Credit Rating for Amazon.com, Inc.</t>
      </text>
    </comment>
    <comment ref="B12" authorId="0" shapeId="0">
      <text>
        <t>Source: Yield on Amazon Senior Unsecured Benchmark Notes</t>
      </text>
    </comment>
    <comment ref="D33" authorId="1" shapeId="0">
      <text>
        <t>Institutional DCF Standard: 8.50% Base WACC reflects normalized tech mega-cap hurdle rate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Amazon.com, Inc. (NASDAQ: AMZN) - Discounted Cash Flow Valuation Model</t>
        </is>
      </c>
    </row>
    <row r="2">
      <c r="A2" s="2" t="inlineStr">
        <is>
          <t>Valuation Date: August 19, 2026 | Currency: USD in Millions (except per-share data) | Fiscal Year End: Dec 31</t>
        </is>
      </c>
    </row>
    <row r="4">
      <c r="A4" s="3" t="inlineStr">
        <is>
          <t>SCENARIO SELECTOR:</t>
        </is>
      </c>
      <c r="B4" s="4" t="n">
        <v>2</v>
      </c>
      <c r="C4" s="5">
        <f>IF(B4=1,"[ BEAR CASE ACTIVE ]",IF(B4=2,"[ BASE CASE ACTIVE ]","[ BULL CASE ACTIVE ]"))</f>
        <v/>
      </c>
    </row>
    <row r="6">
      <c r="A6" s="6" t="inlineStr">
        <is>
          <t>1. MARKET DATA &amp; CAPITAL STRUCTURE INPUTS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8">
      <c r="A8" s="7" t="inlineStr">
        <is>
          <t>Current Share Price ($)</t>
        </is>
      </c>
      <c r="B8" s="8" t="n">
        <v>265</v>
      </c>
    </row>
    <row r="9">
      <c r="A9" s="7" t="inlineStr">
        <is>
          <t>Diluted Shares Outstanding (M)</t>
        </is>
      </c>
      <c r="B9" s="9" t="n">
        <v>10740</v>
      </c>
    </row>
    <row r="10">
      <c r="A10" s="3" t="inlineStr">
        <is>
          <t>Market Capitalization ($M)</t>
        </is>
      </c>
      <c r="B10" s="10">
        <f>B8*B9</f>
        <v/>
      </c>
    </row>
    <row r="11">
      <c r="A11" s="7" t="inlineStr">
        <is>
          <t>Cash, Cash Eq. &amp; Marketable Securities ($M)</t>
        </is>
      </c>
      <c r="B11" s="11" t="n">
        <v>123029</v>
      </c>
    </row>
    <row r="12">
      <c r="A12" s="7" t="inlineStr">
        <is>
          <t>Total Debt ($M)</t>
        </is>
      </c>
      <c r="B12" s="11" t="n">
        <v>65648</v>
      </c>
    </row>
    <row r="13">
      <c r="A13" s="3" t="inlineStr">
        <is>
          <t>Net Debt / (Net Cash) ($M)</t>
        </is>
      </c>
      <c r="B13" s="12">
        <f>B12-B11</f>
        <v/>
      </c>
    </row>
    <row r="14">
      <c r="A14" s="3" t="inlineStr">
        <is>
          <t>Current Enterprise Value ($M)</t>
        </is>
      </c>
      <c r="B14" s="12">
        <f>B10+B13</f>
        <v/>
      </c>
    </row>
    <row r="16">
      <c r="A16" s="6" t="inlineStr">
        <is>
          <t>2. SCENARIO ASSUMPTIONS (BEAR / BASE / BULL)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8">
      <c r="A18" s="13" t="inlineStr">
        <is>
          <t>BEAR CASE ASSUMPTIONS (Scenario 1)</t>
        </is>
      </c>
      <c r="F18" s="14" t="inlineStr">
        <is>
          <t>FY2026E</t>
        </is>
      </c>
      <c r="G18" s="14" t="inlineStr">
        <is>
          <t>FY2027E</t>
        </is>
      </c>
      <c r="H18" s="14" t="inlineStr">
        <is>
          <t>FY2028E</t>
        </is>
      </c>
      <c r="I18" s="14" t="inlineStr">
        <is>
          <t>FY2029E</t>
        </is>
      </c>
      <c r="J18" s="14" t="inlineStr">
        <is>
          <t>FY2030E</t>
        </is>
      </c>
    </row>
    <row r="19">
      <c r="A19" s="7" t="inlineStr">
        <is>
          <t>Revenue Growth (%)</t>
        </is>
      </c>
      <c r="F19" s="15" t="n">
        <v>0.1</v>
      </c>
      <c r="G19" s="15" t="n">
        <v>0.09</v>
      </c>
      <c r="H19" s="15" t="n">
        <v>0.08</v>
      </c>
      <c r="I19" s="15" t="n">
        <v>0.07000000000000001</v>
      </c>
      <c r="J19" s="15" t="n">
        <v>0.06</v>
      </c>
    </row>
    <row r="20">
      <c r="A20" s="7" t="inlineStr">
        <is>
          <t>EBIT Margin (%)</t>
        </is>
      </c>
      <c r="F20" s="15" t="n">
        <v>0.11</v>
      </c>
      <c r="G20" s="15" t="n">
        <v>0.115</v>
      </c>
      <c r="H20" s="15" t="n">
        <v>0.12</v>
      </c>
      <c r="I20" s="15" t="n">
        <v>0.12</v>
      </c>
      <c r="J20" s="15" t="n">
        <v>0.12</v>
      </c>
    </row>
    <row r="21">
      <c r="A21" s="7" t="inlineStr">
        <is>
          <t>D&amp;A (% of Revenue)</t>
        </is>
      </c>
      <c r="F21" s="15" t="n">
        <v>0.09</v>
      </c>
      <c r="G21" s="15" t="n">
        <v>0.08799999999999999</v>
      </c>
      <c r="H21" s="15" t="n">
        <v>0.08500000000000001</v>
      </c>
      <c r="I21" s="15" t="n">
        <v>0.083</v>
      </c>
      <c r="J21" s="15" t="n">
        <v>0.08</v>
      </c>
    </row>
    <row r="22">
      <c r="A22" s="7" t="inlineStr">
        <is>
          <t>CapEx (% of Revenue)</t>
        </is>
      </c>
      <c r="F22" s="15" t="n">
        <v>0.155</v>
      </c>
      <c r="G22" s="15" t="n">
        <v>0.145</v>
      </c>
      <c r="H22" s="15" t="n">
        <v>0.135</v>
      </c>
      <c r="I22" s="15" t="n">
        <v>0.125</v>
      </c>
      <c r="J22" s="15" t="n">
        <v>0.115</v>
      </c>
    </row>
    <row r="23">
      <c r="A23" s="7" t="inlineStr">
        <is>
          <t>Change in NWC (% of ΔRev)</t>
        </is>
      </c>
      <c r="F23" s="15" t="n">
        <v>-0.01</v>
      </c>
      <c r="G23" s="15" t="n">
        <v>-0.01</v>
      </c>
      <c r="H23" s="15" t="n">
        <v>-0.01</v>
      </c>
      <c r="I23" s="15" t="n">
        <v>-0.01</v>
      </c>
      <c r="J23" s="15" t="n">
        <v>-0.01</v>
      </c>
    </row>
    <row r="24">
      <c r="A24" s="7" t="inlineStr">
        <is>
          <t>Tax Rate (%)</t>
        </is>
      </c>
      <c r="F24" s="15" t="n">
        <v>0.21</v>
      </c>
      <c r="G24" s="15" t="n">
        <v>0.21</v>
      </c>
      <c r="H24" s="15" t="n">
        <v>0.21</v>
      </c>
      <c r="I24" s="15" t="n">
        <v>0.21</v>
      </c>
      <c r="J24" s="15" t="n">
        <v>0.21</v>
      </c>
    </row>
    <row r="25">
      <c r="A25" s="7" t="inlineStr">
        <is>
          <t>Terminal Growth Rate (g)</t>
        </is>
      </c>
      <c r="F25" s="15" t="n">
        <v>0.025</v>
      </c>
      <c r="G25" s="15" t="n">
        <v>0.025</v>
      </c>
      <c r="H25" s="15" t="n">
        <v>0.025</v>
      </c>
      <c r="I25" s="15" t="n">
        <v>0.025</v>
      </c>
      <c r="J25" s="15" t="n">
        <v>0.025</v>
      </c>
    </row>
    <row r="26">
      <c r="A26" s="7" t="inlineStr">
        <is>
          <t>Discount Rate (WACC)</t>
        </is>
      </c>
      <c r="F26" s="15" t="n">
        <v>0.095</v>
      </c>
      <c r="G26" s="15" t="n">
        <v>0.095</v>
      </c>
      <c r="H26" s="15" t="n">
        <v>0.095</v>
      </c>
      <c r="I26" s="15" t="n">
        <v>0.095</v>
      </c>
      <c r="J26" s="15" t="n">
        <v>0.095</v>
      </c>
    </row>
    <row r="28">
      <c r="A28" s="13" t="inlineStr">
        <is>
          <t>BASE CASE ASSUMPTIONS (Scenario 2 - Consensus / Recommended)</t>
        </is>
      </c>
      <c r="F28" s="14" t="inlineStr">
        <is>
          <t>FY2026E</t>
        </is>
      </c>
      <c r="G28" s="14" t="inlineStr">
        <is>
          <t>FY2027E</t>
        </is>
      </c>
      <c r="H28" s="14" t="inlineStr">
        <is>
          <t>FY2028E</t>
        </is>
      </c>
      <c r="I28" s="14" t="inlineStr">
        <is>
          <t>FY2029E</t>
        </is>
      </c>
      <c r="J28" s="14" t="inlineStr">
        <is>
          <t>FY2030E</t>
        </is>
      </c>
    </row>
    <row r="29">
      <c r="A29" s="7" t="inlineStr">
        <is>
          <t>Revenue Growth (%)</t>
        </is>
      </c>
      <c r="F29" s="15" t="n">
        <v>0.13</v>
      </c>
      <c r="G29" s="15" t="n">
        <v>0.12</v>
      </c>
      <c r="H29" s="15" t="n">
        <v>0.11</v>
      </c>
      <c r="I29" s="15" t="n">
        <v>0.095</v>
      </c>
      <c r="J29" s="15" t="n">
        <v>0.08500000000000001</v>
      </c>
    </row>
    <row r="30">
      <c r="A30" s="7" t="inlineStr">
        <is>
          <t>EBIT Margin (%)</t>
        </is>
      </c>
      <c r="F30" s="15" t="n">
        <v>0.12</v>
      </c>
      <c r="G30" s="15" t="n">
        <v>0.135</v>
      </c>
      <c r="H30" s="15" t="n">
        <v>0.145</v>
      </c>
      <c r="I30" s="15" t="n">
        <v>0.155</v>
      </c>
      <c r="J30" s="15" t="n">
        <v>0.16</v>
      </c>
    </row>
    <row r="31">
      <c r="A31" s="7" t="inlineStr">
        <is>
          <t>D&amp;A (% of Revenue)</t>
        </is>
      </c>
      <c r="F31" s="15" t="n">
        <v>0.09</v>
      </c>
      <c r="G31" s="15" t="n">
        <v>0.08799999999999999</v>
      </c>
      <c r="H31" s="15" t="n">
        <v>0.08500000000000001</v>
      </c>
      <c r="I31" s="15" t="n">
        <v>0.082</v>
      </c>
      <c r="J31" s="15" t="n">
        <v>0.08</v>
      </c>
    </row>
    <row r="32">
      <c r="A32" s="7" t="inlineStr">
        <is>
          <t>CapEx (% of Revenue)</t>
        </is>
      </c>
      <c r="F32" s="15" t="n">
        <v>0.145</v>
      </c>
      <c r="G32" s="15" t="n">
        <v>0.13</v>
      </c>
      <c r="H32" s="15" t="n">
        <v>0.115</v>
      </c>
      <c r="I32" s="15" t="n">
        <v>0.1</v>
      </c>
      <c r="J32" s="15" t="n">
        <v>0.09</v>
      </c>
    </row>
    <row r="33">
      <c r="A33" s="7" t="inlineStr">
        <is>
          <t>Change in NWC (% of ΔRev)</t>
        </is>
      </c>
      <c r="F33" s="15" t="n">
        <v>-0.01</v>
      </c>
      <c r="G33" s="15" t="n">
        <v>-0.01</v>
      </c>
      <c r="H33" s="15" t="n">
        <v>-0.01</v>
      </c>
      <c r="I33" s="15" t="n">
        <v>-0.01</v>
      </c>
      <c r="J33" s="15" t="n">
        <v>-0.01</v>
      </c>
    </row>
    <row r="34">
      <c r="A34" s="7" t="inlineStr">
        <is>
          <t>Tax Rate (%)</t>
        </is>
      </c>
      <c r="F34" s="15" t="n">
        <v>0.21</v>
      </c>
      <c r="G34" s="15" t="n">
        <v>0.21</v>
      </c>
      <c r="H34" s="15" t="n">
        <v>0.21</v>
      </c>
      <c r="I34" s="15" t="n">
        <v>0.21</v>
      </c>
      <c r="J34" s="15" t="n">
        <v>0.21</v>
      </c>
    </row>
    <row r="35">
      <c r="A35" s="7" t="inlineStr">
        <is>
          <t>Terminal Growth Rate (g)</t>
        </is>
      </c>
      <c r="F35" s="15" t="n">
        <v>0.03</v>
      </c>
      <c r="G35" s="15" t="n">
        <v>0.03</v>
      </c>
      <c r="H35" s="15" t="n">
        <v>0.03</v>
      </c>
      <c r="I35" s="15" t="n">
        <v>0.03</v>
      </c>
      <c r="J35" s="15" t="n">
        <v>0.03</v>
      </c>
    </row>
    <row r="36">
      <c r="A36" s="7" t="inlineStr">
        <is>
          <t>Discount Rate (WACC)</t>
        </is>
      </c>
      <c r="F36" s="15" t="n">
        <v>0.08500000000000001</v>
      </c>
      <c r="G36" s="15" t="n">
        <v>0.08500000000000001</v>
      </c>
      <c r="H36" s="15" t="n">
        <v>0.08500000000000001</v>
      </c>
      <c r="I36" s="15" t="n">
        <v>0.08500000000000001</v>
      </c>
      <c r="J36" s="15" t="n">
        <v>0.08500000000000001</v>
      </c>
    </row>
    <row r="38">
      <c r="A38" s="13" t="inlineStr">
        <is>
          <t>BULL CASE ASSUMPTIONS (Scenario 3)</t>
        </is>
      </c>
      <c r="F38" s="14" t="inlineStr">
        <is>
          <t>FY2026E</t>
        </is>
      </c>
      <c r="G38" s="14" t="inlineStr">
        <is>
          <t>FY2027E</t>
        </is>
      </c>
      <c r="H38" s="14" t="inlineStr">
        <is>
          <t>FY2028E</t>
        </is>
      </c>
      <c r="I38" s="14" t="inlineStr">
        <is>
          <t>FY2029E</t>
        </is>
      </c>
      <c r="J38" s="14" t="inlineStr">
        <is>
          <t>FY2030E</t>
        </is>
      </c>
    </row>
    <row r="39">
      <c r="A39" s="7" t="inlineStr">
        <is>
          <t>Revenue Growth (%)</t>
        </is>
      </c>
      <c r="F39" s="15" t="n">
        <v>0.155</v>
      </c>
      <c r="G39" s="15" t="n">
        <v>0.145</v>
      </c>
      <c r="H39" s="15" t="n">
        <v>0.13</v>
      </c>
      <c r="I39" s="15" t="n">
        <v>0.115</v>
      </c>
      <c r="J39" s="15" t="n">
        <v>0.1</v>
      </c>
    </row>
    <row r="40">
      <c r="A40" s="7" t="inlineStr">
        <is>
          <t>EBIT Margin (%)</t>
        </is>
      </c>
      <c r="F40" s="15" t="n">
        <v>0.13</v>
      </c>
      <c r="G40" s="15" t="n">
        <v>0.15</v>
      </c>
      <c r="H40" s="15" t="n">
        <v>0.165</v>
      </c>
      <c r="I40" s="15" t="n">
        <v>0.175</v>
      </c>
      <c r="J40" s="15" t="n">
        <v>0.18</v>
      </c>
    </row>
    <row r="41">
      <c r="A41" s="7" t="inlineStr">
        <is>
          <t>D&amp;A (% of Revenue)</t>
        </is>
      </c>
      <c r="F41" s="15" t="n">
        <v>0.09</v>
      </c>
      <c r="G41" s="15" t="n">
        <v>0.08500000000000001</v>
      </c>
      <c r="H41" s="15" t="n">
        <v>0.08</v>
      </c>
      <c r="I41" s="15" t="n">
        <v>0.078</v>
      </c>
      <c r="J41" s="15" t="n">
        <v>0.075</v>
      </c>
    </row>
    <row r="42">
      <c r="A42" s="7" t="inlineStr">
        <is>
          <t>CapEx (% of Revenue)</t>
        </is>
      </c>
      <c r="F42" s="15" t="n">
        <v>0.135</v>
      </c>
      <c r="G42" s="15" t="n">
        <v>0.12</v>
      </c>
      <c r="H42" s="15" t="n">
        <v>0.105</v>
      </c>
      <c r="I42" s="15" t="n">
        <v>0.09</v>
      </c>
      <c r="J42" s="15" t="n">
        <v>0.08</v>
      </c>
    </row>
    <row r="43">
      <c r="A43" s="7" t="inlineStr">
        <is>
          <t>Change in NWC (% of ΔRev)</t>
        </is>
      </c>
      <c r="F43" s="15" t="n">
        <v>-0.01</v>
      </c>
      <c r="G43" s="15" t="n">
        <v>-0.01</v>
      </c>
      <c r="H43" s="15" t="n">
        <v>-0.01</v>
      </c>
      <c r="I43" s="15" t="n">
        <v>-0.01</v>
      </c>
      <c r="J43" s="15" t="n">
        <v>-0.01</v>
      </c>
    </row>
    <row r="44">
      <c r="A44" s="7" t="inlineStr">
        <is>
          <t>Tax Rate (%)</t>
        </is>
      </c>
      <c r="F44" s="15" t="n">
        <v>0.21</v>
      </c>
      <c r="G44" s="15" t="n">
        <v>0.21</v>
      </c>
      <c r="H44" s="15" t="n">
        <v>0.21</v>
      </c>
      <c r="I44" s="15" t="n">
        <v>0.21</v>
      </c>
      <c r="J44" s="15" t="n">
        <v>0.21</v>
      </c>
    </row>
    <row r="45">
      <c r="A45" s="7" t="inlineStr">
        <is>
          <t>Terminal Growth Rate (g)</t>
        </is>
      </c>
      <c r="F45" s="15" t="n">
        <v>0.035</v>
      </c>
      <c r="G45" s="15" t="n">
        <v>0.035</v>
      </c>
      <c r="H45" s="15" t="n">
        <v>0.035</v>
      </c>
      <c r="I45" s="15" t="n">
        <v>0.035</v>
      </c>
      <c r="J45" s="15" t="n">
        <v>0.035</v>
      </c>
    </row>
    <row r="46">
      <c r="A46" s="7" t="inlineStr">
        <is>
          <t>Discount Rate (WACC)</t>
        </is>
      </c>
      <c r="F46" s="15" t="n">
        <v>0.078</v>
      </c>
      <c r="G46" s="15" t="n">
        <v>0.078</v>
      </c>
      <c r="H46" s="15" t="n">
        <v>0.078</v>
      </c>
      <c r="I46" s="15" t="n">
        <v>0.078</v>
      </c>
      <c r="J46" s="15" t="n">
        <v>0.078</v>
      </c>
    </row>
    <row r="48">
      <c r="A48" s="13" t="inlineStr">
        <is>
          <t>ACTIVE CONSOLIDATED ASSUMPTIONS (Driven by Case Selector B4)</t>
        </is>
      </c>
      <c r="F48" s="14" t="inlineStr">
        <is>
          <t>FY2026E</t>
        </is>
      </c>
      <c r="G48" s="14" t="inlineStr">
        <is>
          <t>FY2027E</t>
        </is>
      </c>
      <c r="H48" s="14" t="inlineStr">
        <is>
          <t>FY2028E</t>
        </is>
      </c>
      <c r="I48" s="14" t="inlineStr">
        <is>
          <t>FY2029E</t>
        </is>
      </c>
      <c r="J48" s="14" t="inlineStr">
        <is>
          <t>FY2030E</t>
        </is>
      </c>
    </row>
    <row r="49">
      <c r="A49" s="16" t="inlineStr">
        <is>
          <t>Revenue Growth (%)</t>
        </is>
      </c>
      <c r="F49" s="17">
        <f>IF($B$4=1,F19,IF($B$4=2,F29,F39))</f>
        <v/>
      </c>
      <c r="G49" s="17">
        <f>IF($B$4=1,G19,IF($B$4=2,G29,G39))</f>
        <v/>
      </c>
      <c r="H49" s="17">
        <f>IF($B$4=1,H19,IF($B$4=2,H29,H39))</f>
        <v/>
      </c>
      <c r="I49" s="17">
        <f>IF($B$4=1,I19,IF($B$4=2,I29,I39))</f>
        <v/>
      </c>
      <c r="J49" s="17">
        <f>IF($B$4=1,J19,IF($B$4=2,J29,J39))</f>
        <v/>
      </c>
    </row>
    <row r="50">
      <c r="A50" s="16" t="inlineStr">
        <is>
          <t>EBIT Margin (%)</t>
        </is>
      </c>
      <c r="F50" s="17">
        <f>IF($B$4=1,F20,IF($B$4=2,F30,F40))</f>
        <v/>
      </c>
      <c r="G50" s="17">
        <f>IF($B$4=1,G20,IF($B$4=2,G30,G40))</f>
        <v/>
      </c>
      <c r="H50" s="17">
        <f>IF($B$4=1,H20,IF($B$4=2,H30,H40))</f>
        <v/>
      </c>
      <c r="I50" s="17">
        <f>IF($B$4=1,I20,IF($B$4=2,I30,I40))</f>
        <v/>
      </c>
      <c r="J50" s="17">
        <f>IF($B$4=1,J20,IF($B$4=2,J30,J40))</f>
        <v/>
      </c>
    </row>
    <row r="51">
      <c r="A51" s="16" t="inlineStr">
        <is>
          <t>D&amp;A (% of Revenue)</t>
        </is>
      </c>
      <c r="F51" s="17">
        <f>IF($B$4=1,F21,IF($B$4=2,F31,F41))</f>
        <v/>
      </c>
      <c r="G51" s="17">
        <f>IF($B$4=1,G21,IF($B$4=2,G31,G41))</f>
        <v/>
      </c>
      <c r="H51" s="17">
        <f>IF($B$4=1,H21,IF($B$4=2,H31,H41))</f>
        <v/>
      </c>
      <c r="I51" s="17">
        <f>IF($B$4=1,I21,IF($B$4=2,I31,I41))</f>
        <v/>
      </c>
      <c r="J51" s="17">
        <f>IF($B$4=1,J21,IF($B$4=2,J31,J41))</f>
        <v/>
      </c>
    </row>
    <row r="52">
      <c r="A52" s="16" t="inlineStr">
        <is>
          <t>CapEx (% of Revenue)</t>
        </is>
      </c>
      <c r="F52" s="17">
        <f>IF($B$4=1,F22,IF($B$4=2,F32,F42))</f>
        <v/>
      </c>
      <c r="G52" s="17">
        <f>IF($B$4=1,G22,IF($B$4=2,G32,G42))</f>
        <v/>
      </c>
      <c r="H52" s="17">
        <f>IF($B$4=1,H22,IF($B$4=2,H32,H42))</f>
        <v/>
      </c>
      <c r="I52" s="17">
        <f>IF($B$4=1,I22,IF($B$4=2,I32,I42))</f>
        <v/>
      </c>
      <c r="J52" s="17">
        <f>IF($B$4=1,J22,IF($B$4=2,J32,J42))</f>
        <v/>
      </c>
    </row>
    <row r="53">
      <c r="A53" s="16" t="inlineStr">
        <is>
          <t>Change in NWC (% of ΔRev)</t>
        </is>
      </c>
      <c r="F53" s="17">
        <f>IF($B$4=1,F23,IF($B$4=2,F33,F43))</f>
        <v/>
      </c>
      <c r="G53" s="17">
        <f>IF($B$4=1,G23,IF($B$4=2,G33,G43))</f>
        <v/>
      </c>
      <c r="H53" s="17">
        <f>IF($B$4=1,H23,IF($B$4=2,H33,H43))</f>
        <v/>
      </c>
      <c r="I53" s="17">
        <f>IF($B$4=1,I23,IF($B$4=2,I33,I43))</f>
        <v/>
      </c>
      <c r="J53" s="17">
        <f>IF($B$4=1,J23,IF($B$4=2,J33,J43))</f>
        <v/>
      </c>
    </row>
    <row r="54">
      <c r="A54" s="16" t="inlineStr">
        <is>
          <t>Tax Rate (%)</t>
        </is>
      </c>
      <c r="F54" s="17">
        <f>IF($B$4=1,F24,IF($B$4=2,F34,F44))</f>
        <v/>
      </c>
      <c r="G54" s="17">
        <f>IF($B$4=1,G24,IF($B$4=2,G34,G44))</f>
        <v/>
      </c>
      <c r="H54" s="17">
        <f>IF($B$4=1,H24,IF($B$4=2,H34,H44))</f>
        <v/>
      </c>
      <c r="I54" s="17">
        <f>IF($B$4=1,I24,IF($B$4=2,I34,I44))</f>
        <v/>
      </c>
      <c r="J54" s="17">
        <f>IF($B$4=1,J24,IF($B$4=2,J34,J44))</f>
        <v/>
      </c>
    </row>
    <row r="55">
      <c r="A55" s="16" t="inlineStr">
        <is>
          <t>Terminal Growth Rate (g)</t>
        </is>
      </c>
      <c r="F55" s="17">
        <f>IF($B$4=1,F25,IF($B$4=2,F35,F45))</f>
        <v/>
      </c>
      <c r="G55" s="17">
        <f>IF($B$4=1,G25,IF($B$4=2,G35,G45))</f>
        <v/>
      </c>
      <c r="H55" s="17">
        <f>IF($B$4=1,H25,IF($B$4=2,H35,H45))</f>
        <v/>
      </c>
      <c r="I55" s="17">
        <f>IF($B$4=1,I25,IF($B$4=2,I35,I45))</f>
        <v/>
      </c>
      <c r="J55" s="17">
        <f>IF($B$4=1,J25,IF($B$4=2,J35,J45))</f>
        <v/>
      </c>
    </row>
    <row r="56">
      <c r="A56" s="16" t="inlineStr">
        <is>
          <t>Discount Rate (WACC)</t>
        </is>
      </c>
      <c r="F56" s="17">
        <f>IF($B$4=1,F26,IF($B$4=2,F36,F46))</f>
        <v/>
      </c>
      <c r="G56" s="17">
        <f>IF($B$4=1,G26,IF($B$4=2,G36,G46))</f>
        <v/>
      </c>
      <c r="H56" s="17">
        <f>IF($B$4=1,H26,IF($B$4=2,H36,H46))</f>
        <v/>
      </c>
      <c r="I56" s="17">
        <f>IF($B$4=1,I26,IF($B$4=2,I36,I46))</f>
        <v/>
      </c>
      <c r="J56" s="17">
        <f>IF($B$4=1,J26,IF($B$4=2,J36,J46))</f>
        <v/>
      </c>
    </row>
    <row r="58">
      <c r="A58" s="6" t="inlineStr">
        <is>
          <t>3. HISTORICAL &amp; PROJECTED FINANCIAL PERFORMANCE ($M)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13" t="inlineStr">
        <is>
          <t>Financial Metric / Projection Year</t>
        </is>
      </c>
      <c r="B59" s="14" t="inlineStr">
        <is>
          <t>2022A</t>
        </is>
      </c>
      <c r="C59" s="14" t="inlineStr">
        <is>
          <t>2023A</t>
        </is>
      </c>
      <c r="D59" s="14" t="inlineStr">
        <is>
          <t>2024A</t>
        </is>
      </c>
      <c r="E59" s="14" t="inlineStr">
        <is>
          <t>2025A</t>
        </is>
      </c>
      <c r="F59" s="14" t="inlineStr">
        <is>
          <t>FY2026E</t>
        </is>
      </c>
      <c r="G59" s="14" t="inlineStr">
        <is>
          <t>FY2027E</t>
        </is>
      </c>
      <c r="H59" s="14" t="inlineStr">
        <is>
          <t>FY2028E</t>
        </is>
      </c>
      <c r="I59" s="14" t="inlineStr">
        <is>
          <t>FY2029E</t>
        </is>
      </c>
      <c r="J59" s="14" t="inlineStr">
        <is>
          <t>FY2030E</t>
        </is>
      </c>
    </row>
    <row r="60">
      <c r="A60" s="3" t="inlineStr">
        <is>
          <t>Revenue (Net Sales)</t>
        </is>
      </c>
      <c r="B60" s="11" t="n">
        <v>513983</v>
      </c>
      <c r="C60" s="11" t="n">
        <v>574785</v>
      </c>
      <c r="D60" s="11" t="n">
        <v>637959</v>
      </c>
      <c r="E60" s="11" t="n">
        <v>716924</v>
      </c>
      <c r="F60" s="12">
        <f>E60*(1+F49)</f>
        <v/>
      </c>
      <c r="G60" s="12">
        <f>F60*(1+G49)</f>
        <v/>
      </c>
      <c r="H60" s="12">
        <f>G60*(1+H49)</f>
        <v/>
      </c>
      <c r="I60" s="12">
        <f>H60*(1+I49)</f>
        <v/>
      </c>
      <c r="J60" s="12">
        <f>I60*(1+J49)</f>
        <v/>
      </c>
    </row>
    <row r="61">
      <c r="A61" s="7" t="inlineStr">
        <is>
          <t xml:space="preserve">  YoY Revenue Growth (%)</t>
        </is>
      </c>
      <c r="B61" s="15" t="n">
        <v>0.094</v>
      </c>
      <c r="C61" s="18">
        <f>C60/B60-1</f>
        <v/>
      </c>
      <c r="D61" s="18">
        <f>D60/C60-1</f>
        <v/>
      </c>
      <c r="E61" s="18">
        <f>E60/D60-1</f>
        <v/>
      </c>
      <c r="F61" s="18">
        <f>F60/E60-1</f>
        <v/>
      </c>
      <c r="G61" s="18">
        <f>G60/F60-1</f>
        <v/>
      </c>
      <c r="H61" s="18">
        <f>H60/G60-1</f>
        <v/>
      </c>
      <c r="I61" s="18">
        <f>I60/H60-1</f>
        <v/>
      </c>
      <c r="J61" s="18">
        <f>J60/I60-1</f>
        <v/>
      </c>
    </row>
    <row r="62">
      <c r="A62" s="7" t="inlineStr">
        <is>
          <t>Gross Profit</t>
        </is>
      </c>
      <c r="B62" s="11" t="n">
        <v>225152</v>
      </c>
      <c r="C62" s="11" t="n">
        <v>270046</v>
      </c>
      <c r="D62" s="11" t="n">
        <v>311671</v>
      </c>
      <c r="E62" s="11" t="n">
        <v>360510</v>
      </c>
      <c r="F62" s="10">
        <f>F60*(0.503+(4-3)*0.005)</f>
        <v/>
      </c>
      <c r="G62" s="10">
        <f>G60*(0.503+(5-3)*0.005)</f>
        <v/>
      </c>
      <c r="H62" s="10">
        <f>H60*(0.503+(6-3)*0.005)</f>
        <v/>
      </c>
      <c r="I62" s="10">
        <f>I60*(0.503+(7-3)*0.005)</f>
        <v/>
      </c>
      <c r="J62" s="10">
        <f>J60*(0.503+(8-3)*0.005)</f>
        <v/>
      </c>
    </row>
    <row r="63">
      <c r="A63" s="7" t="inlineStr">
        <is>
          <t xml:space="preserve">  Gross Margin (%)</t>
        </is>
      </c>
      <c r="B63" s="18">
        <f>B62/B60</f>
        <v/>
      </c>
      <c r="C63" s="18">
        <f>C62/C60</f>
        <v/>
      </c>
      <c r="D63" s="18">
        <f>D62/D60</f>
        <v/>
      </c>
      <c r="E63" s="18">
        <f>E62/E60</f>
        <v/>
      </c>
      <c r="F63" s="18">
        <f>F62/F60</f>
        <v/>
      </c>
      <c r="G63" s="18">
        <f>G62/G60</f>
        <v/>
      </c>
      <c r="H63" s="18">
        <f>H62/H60</f>
        <v/>
      </c>
      <c r="I63" s="18">
        <f>I62/I60</f>
        <v/>
      </c>
      <c r="J63" s="18">
        <f>J62/J60</f>
        <v/>
      </c>
    </row>
    <row r="64">
      <c r="A64" s="3" t="inlineStr">
        <is>
          <t>Operating Income (EBIT)</t>
        </is>
      </c>
      <c r="B64" s="11" t="n">
        <v>12248</v>
      </c>
      <c r="C64" s="11" t="n">
        <v>36852</v>
      </c>
      <c r="D64" s="11" t="n">
        <v>68593</v>
      </c>
      <c r="E64" s="11" t="n">
        <v>79975</v>
      </c>
      <c r="F64" s="12">
        <f>F60*F50</f>
        <v/>
      </c>
      <c r="G64" s="12">
        <f>G60*G50</f>
        <v/>
      </c>
      <c r="H64" s="12">
        <f>H60*H50</f>
        <v/>
      </c>
      <c r="I64" s="12">
        <f>I60*I50</f>
        <v/>
      </c>
      <c r="J64" s="12">
        <f>J60*J50</f>
        <v/>
      </c>
    </row>
    <row r="65">
      <c r="A65" s="7" t="inlineStr">
        <is>
          <t xml:space="preserve">  EBIT Margin (%)</t>
        </is>
      </c>
      <c r="B65" s="18">
        <f>B64/B60</f>
        <v/>
      </c>
      <c r="C65" s="18">
        <f>C64/C60</f>
        <v/>
      </c>
      <c r="D65" s="18">
        <f>D64/D60</f>
        <v/>
      </c>
      <c r="E65" s="18">
        <f>E64/E60</f>
        <v/>
      </c>
      <c r="F65" s="18">
        <f>F64/F60</f>
        <v/>
      </c>
      <c r="G65" s="18">
        <f>G64/G60</f>
        <v/>
      </c>
      <c r="H65" s="18">
        <f>H64/H60</f>
        <v/>
      </c>
      <c r="I65" s="18">
        <f>I64/I60</f>
        <v/>
      </c>
      <c r="J65" s="18">
        <f>J64/J60</f>
        <v/>
      </c>
    </row>
    <row r="66">
      <c r="A66" s="7" t="inlineStr">
        <is>
          <t>(-) Provision for Income Taxes</t>
        </is>
      </c>
      <c r="B66" s="19" t="n">
        <v>-3216</v>
      </c>
      <c r="C66" s="19" t="n">
        <v>7120</v>
      </c>
      <c r="D66" s="19" t="n">
        <v>13745</v>
      </c>
      <c r="E66" s="19" t="n">
        <v>16795</v>
      </c>
      <c r="F66" s="20">
        <f>F64*F54</f>
        <v/>
      </c>
      <c r="G66" s="20">
        <f>G64*G54</f>
        <v/>
      </c>
      <c r="H66" s="20">
        <f>H64*H54</f>
        <v/>
      </c>
      <c r="I66" s="20">
        <f>I64*I54</f>
        <v/>
      </c>
      <c r="J66" s="20">
        <f>J64*J54</f>
        <v/>
      </c>
    </row>
    <row r="67">
      <c r="A67" s="3" t="inlineStr">
        <is>
          <t>(=) Net Operating Profit After Tax (NOPAT)</t>
        </is>
      </c>
      <c r="B67" s="12">
        <f>B64-B66</f>
        <v/>
      </c>
      <c r="C67" s="12">
        <f>C64-C66</f>
        <v/>
      </c>
      <c r="D67" s="12">
        <f>D64-D66</f>
        <v/>
      </c>
      <c r="E67" s="12">
        <f>E64-E66</f>
        <v/>
      </c>
      <c r="F67" s="12">
        <f>F64-F66</f>
        <v/>
      </c>
      <c r="G67" s="12">
        <f>G64-G66</f>
        <v/>
      </c>
      <c r="H67" s="12">
        <f>H64-H66</f>
        <v/>
      </c>
      <c r="I67" s="12">
        <f>I64-I66</f>
        <v/>
      </c>
      <c r="J67" s="12">
        <f>J64-J66</f>
        <v/>
      </c>
    </row>
    <row r="68">
      <c r="A68" s="7" t="inlineStr">
        <is>
          <t>(+) Depreciation &amp; Amortization (D&amp;A)</t>
        </is>
      </c>
      <c r="B68" s="11" t="n">
        <v>41921</v>
      </c>
      <c r="C68" s="11" t="n">
        <v>48663</v>
      </c>
      <c r="D68" s="11" t="n">
        <v>52795</v>
      </c>
      <c r="E68" s="11" t="n">
        <v>65756</v>
      </c>
      <c r="F68" s="10">
        <f>F60*F51</f>
        <v/>
      </c>
      <c r="G68" s="10">
        <f>G60*G51</f>
        <v/>
      </c>
      <c r="H68" s="10">
        <f>H60*H51</f>
        <v/>
      </c>
      <c r="I68" s="10">
        <f>I60*I51</f>
        <v/>
      </c>
      <c r="J68" s="10">
        <f>J60*J51</f>
        <v/>
      </c>
    </row>
    <row r="69">
      <c r="A69" s="7" t="inlineStr">
        <is>
          <t>(-) Capital Expenditures (CapEx)</t>
        </is>
      </c>
      <c r="B69" s="11" t="n">
        <v>63645</v>
      </c>
      <c r="C69" s="11" t="n">
        <v>52729</v>
      </c>
      <c r="D69" s="11" t="n">
        <v>82999</v>
      </c>
      <c r="E69" s="11" t="n">
        <v>131819</v>
      </c>
      <c r="F69" s="10">
        <f>F60*F52</f>
        <v/>
      </c>
      <c r="G69" s="10">
        <f>G60*G52</f>
        <v/>
      </c>
      <c r="H69" s="10">
        <f>H60*H52</f>
        <v/>
      </c>
      <c r="I69" s="10">
        <f>I60*I52</f>
        <v/>
      </c>
      <c r="J69" s="10">
        <f>J60*J52</f>
        <v/>
      </c>
    </row>
    <row r="70">
      <c r="A70" s="7" t="inlineStr">
        <is>
          <t>(-) Change in Net Working Capital (Δ NWC)</t>
        </is>
      </c>
      <c r="B70" s="19" t="n">
        <v>-1823</v>
      </c>
      <c r="C70" s="19" t="n">
        <v>-2145</v>
      </c>
      <c r="D70" s="19" t="n">
        <v>-1560</v>
      </c>
      <c r="E70" s="19" t="n">
        <v>-1890</v>
      </c>
      <c r="F70" s="20">
        <f>(F60-E60)*F53</f>
        <v/>
      </c>
      <c r="G70" s="20">
        <f>(G60-F60)*G53</f>
        <v/>
      </c>
      <c r="H70" s="20">
        <f>(H60-G60)*H53</f>
        <v/>
      </c>
      <c r="I70" s="20">
        <f>(I60-H60)*I53</f>
        <v/>
      </c>
      <c r="J70" s="20">
        <f>(J60-I60)*J53</f>
        <v/>
      </c>
    </row>
    <row r="71">
      <c r="A71" s="3" t="inlineStr">
        <is>
          <t>(=) Unlevered Free Cash Flow (UFCF)</t>
        </is>
      </c>
      <c r="B71" s="21">
        <f>B67+B68-B69-B70</f>
        <v/>
      </c>
      <c r="C71" s="21">
        <f>C67+C68-C69-C70</f>
        <v/>
      </c>
      <c r="D71" s="21">
        <f>D67+D68-D69-D70</f>
        <v/>
      </c>
      <c r="E71" s="21">
        <f>E67+E68-E69-E70</f>
        <v/>
      </c>
      <c r="F71" s="22">
        <f>F67+F68-F69-F70</f>
        <v/>
      </c>
      <c r="G71" s="22">
        <f>G67+G68-G69-G70</f>
        <v/>
      </c>
      <c r="H71" s="22">
        <f>H67+H68-H69-H70</f>
        <v/>
      </c>
      <c r="I71" s="22">
        <f>I67+I68-I69-I70</f>
        <v/>
      </c>
      <c r="J71" s="22">
        <f>J67+J68-J69-J70</f>
        <v/>
      </c>
    </row>
    <row r="74">
      <c r="A74" s="6" t="inlineStr">
        <is>
          <t>4. DISCOUNTED CASH FLOW &amp; VALUATION BRIDGE ($M)</t>
        </is>
      </c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13" t="inlineStr">
        <is>
          <t>Valuation Schedule</t>
        </is>
      </c>
      <c r="F75" s="14" t="inlineStr">
        <is>
          <t>FY2026E</t>
        </is>
      </c>
      <c r="G75" s="14" t="inlineStr">
        <is>
          <t>FY2027E</t>
        </is>
      </c>
      <c r="H75" s="14" t="inlineStr">
        <is>
          <t>FY2028E</t>
        </is>
      </c>
      <c r="I75" s="14" t="inlineStr">
        <is>
          <t>FY2029E</t>
        </is>
      </c>
      <c r="J75" s="14" t="inlineStr">
        <is>
          <t>FY2030E</t>
        </is>
      </c>
      <c r="K75" s="14" t="inlineStr">
        <is>
          <t>Terminal Value</t>
        </is>
      </c>
    </row>
    <row r="76">
      <c r="A76" s="3" t="inlineStr">
        <is>
          <t>Unlevered Free Cash Flow ($M)</t>
        </is>
      </c>
      <c r="F76" s="12">
        <f>F71</f>
        <v/>
      </c>
      <c r="G76" s="12">
        <f>G71</f>
        <v/>
      </c>
      <c r="H76" s="12">
        <f>H71</f>
        <v/>
      </c>
      <c r="I76" s="12">
        <f>I71</f>
        <v/>
      </c>
      <c r="J76" s="12">
        <f>J71</f>
        <v/>
      </c>
      <c r="K76" s="12">
        <f>(J76*(1+$F$55))/($F$56-$F$55)</f>
        <v/>
      </c>
    </row>
    <row r="77">
      <c r="A77" s="7" t="inlineStr">
        <is>
          <t>Discount Period (Mid-Year Convention)</t>
        </is>
      </c>
      <c r="F77" s="23" t="n">
        <v>0.5</v>
      </c>
      <c r="G77" s="23" t="n">
        <v>1.5</v>
      </c>
      <c r="H77" s="23" t="n">
        <v>2.5</v>
      </c>
      <c r="I77" s="23" t="n">
        <v>3.5</v>
      </c>
      <c r="J77" s="23" t="n">
        <v>4.5</v>
      </c>
      <c r="K77" s="23" t="n">
        <v>4.5</v>
      </c>
    </row>
    <row r="78">
      <c r="A78" s="7" t="inlineStr">
        <is>
          <t>Discount Factor (PV @ WACC)</t>
        </is>
      </c>
      <c r="F78" s="24">
        <f>1/(1+$F$56)^F77</f>
        <v/>
      </c>
      <c r="G78" s="24">
        <f>1/(1+$F$56)^G77</f>
        <v/>
      </c>
      <c r="H78" s="24">
        <f>1/(1+$F$56)^H77</f>
        <v/>
      </c>
      <c r="I78" s="24">
        <f>1/(1+$F$56)^I77</f>
        <v/>
      </c>
      <c r="J78" s="24">
        <f>1/(1+$F$56)^J77</f>
        <v/>
      </c>
      <c r="K78" s="24">
        <f>1/(1+$F$56)^K77</f>
        <v/>
      </c>
    </row>
    <row r="79">
      <c r="A79" s="3" t="inlineStr">
        <is>
          <t>Present Value of FCF ($M)</t>
        </is>
      </c>
      <c r="F79" s="12">
        <f>F76*F78</f>
        <v/>
      </c>
      <c r="G79" s="12">
        <f>G76*G78</f>
        <v/>
      </c>
      <c r="H79" s="12">
        <f>H76*H78</f>
        <v/>
      </c>
      <c r="I79" s="12">
        <f>I76*I78</f>
        <v/>
      </c>
      <c r="J79" s="12">
        <f>J76*J78</f>
        <v/>
      </c>
      <c r="K79" s="25">
        <f>K76*K78</f>
        <v/>
      </c>
    </row>
    <row r="81">
      <c r="A81" s="7" t="inlineStr">
        <is>
          <t>Cumulative PV of Explicit Forecast FCFs (2026E-2030E) ($M)</t>
        </is>
      </c>
      <c r="B81" s="10">
        <f>SUM(F79:J79)</f>
        <v/>
      </c>
    </row>
    <row r="82">
      <c r="A82" s="7" t="inlineStr">
        <is>
          <t>PV of Terminal Value ($M)</t>
        </is>
      </c>
      <c r="B82" s="10">
        <f>K79</f>
        <v/>
      </c>
    </row>
    <row r="83">
      <c r="A83" s="3" t="inlineStr">
        <is>
          <t>Enterprise Value (EV) ($M)</t>
        </is>
      </c>
      <c r="B83" s="26">
        <f>B81+B82</f>
        <v/>
      </c>
    </row>
    <row r="84">
      <c r="A84" s="7" t="inlineStr">
        <is>
          <t>(-) Net Debt / (+ Net Cash) ($M)</t>
        </is>
      </c>
      <c r="B84" s="10">
        <f>B13</f>
        <v/>
      </c>
    </row>
    <row r="85">
      <c r="A85" s="27" t="inlineStr">
        <is>
          <t>(=) Implied Equity Value ($M)</t>
        </is>
      </c>
      <c r="B85" s="25">
        <f>B83-B84</f>
        <v/>
      </c>
    </row>
    <row r="86">
      <c r="A86" s="7" t="inlineStr">
        <is>
          <t>Diluted Shares Outstanding (M)</t>
        </is>
      </c>
      <c r="B86" s="28">
        <f>B9</f>
        <v/>
      </c>
    </row>
    <row r="87">
      <c r="A87" s="29" t="inlineStr">
        <is>
          <t>IMPLIED SHARE PRICE ($ / Share)</t>
        </is>
      </c>
      <c r="B87" s="30">
        <f>B85/B86</f>
        <v/>
      </c>
    </row>
    <row r="88">
      <c r="A88" s="3" t="inlineStr">
        <is>
          <t>Current Trading Price ($ / Share)</t>
        </is>
      </c>
      <c r="B88" s="31">
        <f>B8</f>
        <v/>
      </c>
    </row>
    <row r="89">
      <c r="A89" s="32" t="inlineStr">
        <is>
          <t>Implied Upside / (Downside) (%)</t>
        </is>
      </c>
      <c r="B89" s="33">
        <f>B87/B88-1</f>
        <v/>
      </c>
    </row>
    <row r="90">
      <c r="A90" s="7" t="inlineStr">
        <is>
          <t>Terminal Value as % of Enterprise Value</t>
        </is>
      </c>
      <c r="B90" s="18">
        <f>B82/B83</f>
        <v/>
      </c>
    </row>
    <row r="94">
      <c r="A94" s="6" t="inlineStr">
        <is>
          <t>5. VALUATION SENSITIVITY ANALYSIS (IMPLIED SHARE PRICE $)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6">
      <c r="A96" s="3" t="inlineStr">
        <is>
          <t>Table 1: Implied Share Price ($) - WACC vs. Terminal Growth Rate (g)</t>
        </is>
      </c>
    </row>
    <row r="97">
      <c r="A97" s="14" t="inlineStr">
        <is>
          <t>WACC \ Perp. g</t>
        </is>
      </c>
      <c r="B97" s="34" t="n">
        <v>0.02</v>
      </c>
      <c r="C97" s="34" t="n">
        <v>0.025</v>
      </c>
      <c r="D97" s="34" t="n">
        <v>0.03</v>
      </c>
      <c r="E97" s="34" t="n">
        <v>0.035</v>
      </c>
      <c r="F97" s="34" t="n">
        <v>0.04</v>
      </c>
    </row>
    <row r="98">
      <c r="A98" s="34" t="n">
        <v>0.075</v>
      </c>
      <c r="B98" s="35">
        <f>( (F$76/(1+$A98)^0.5 + G$76/(1+$A98)^1.5 + H$76/(1+$A98)^2.5 + I$76/(1+$A98)^3.5 + J$76/(1+$A98)^4.5) + (J$76*(1+B$97)/($A98-B$97))/(1+$A98)^4.5 - $B$13 ) / $B$9</f>
        <v/>
      </c>
      <c r="C98" s="35">
        <f>( (F$76/(1+$A98)^0.5 + G$76/(1+$A98)^1.5 + H$76/(1+$A98)^2.5 + I$76/(1+$A98)^3.5 + J$76/(1+$A98)^4.5) + (J$76*(1+C$97)/($A98-C$97))/(1+$A98)^4.5 - $B$13 ) / $B$9</f>
        <v/>
      </c>
      <c r="D98" s="35">
        <f>( (F$76/(1+$A98)^0.5 + G$76/(1+$A98)^1.5 + H$76/(1+$A98)^2.5 + I$76/(1+$A98)^3.5 + J$76/(1+$A98)^4.5) + (J$76*(1+D$97)/($A98-D$97))/(1+$A98)^4.5 - $B$13 ) / $B$9</f>
        <v/>
      </c>
      <c r="E98" s="35">
        <f>( (F$76/(1+$A98)^0.5 + G$76/(1+$A98)^1.5 + H$76/(1+$A98)^2.5 + I$76/(1+$A98)^3.5 + J$76/(1+$A98)^4.5) + (J$76*(1+E$97)/($A98-E$97))/(1+$A98)^4.5 - $B$13 ) / $B$9</f>
        <v/>
      </c>
      <c r="F98" s="35">
        <f>( (F$76/(1+$A98)^0.5 + G$76/(1+$A98)^1.5 + H$76/(1+$A98)^2.5 + I$76/(1+$A98)^3.5 + J$76/(1+$A98)^4.5) + (J$76*(1+F$97)/($A98-F$97))/(1+$A98)^4.5 - $B$13 ) / $B$9</f>
        <v/>
      </c>
    </row>
    <row r="99">
      <c r="A99" s="34" t="n">
        <v>0.08</v>
      </c>
      <c r="B99" s="35">
        <f>( (F$76/(1+$A99)^0.5 + G$76/(1+$A99)^1.5 + H$76/(1+$A99)^2.5 + I$76/(1+$A99)^3.5 + J$76/(1+$A99)^4.5) + (J$76*(1+B$97)/($A99-B$97))/(1+$A99)^4.5 - $B$13 ) / $B$9</f>
        <v/>
      </c>
      <c r="C99" s="35">
        <f>( (F$76/(1+$A99)^0.5 + G$76/(1+$A99)^1.5 + H$76/(1+$A99)^2.5 + I$76/(1+$A99)^3.5 + J$76/(1+$A99)^4.5) + (J$76*(1+C$97)/($A99-C$97))/(1+$A99)^4.5 - $B$13 ) / $B$9</f>
        <v/>
      </c>
      <c r="D99" s="35">
        <f>( (F$76/(1+$A99)^0.5 + G$76/(1+$A99)^1.5 + H$76/(1+$A99)^2.5 + I$76/(1+$A99)^3.5 + J$76/(1+$A99)^4.5) + (J$76*(1+D$97)/($A99-D$97))/(1+$A99)^4.5 - $B$13 ) / $B$9</f>
        <v/>
      </c>
      <c r="E99" s="35">
        <f>( (F$76/(1+$A99)^0.5 + G$76/(1+$A99)^1.5 + H$76/(1+$A99)^2.5 + I$76/(1+$A99)^3.5 + J$76/(1+$A99)^4.5) + (J$76*(1+E$97)/($A99-E$97))/(1+$A99)^4.5 - $B$13 ) / $B$9</f>
        <v/>
      </c>
      <c r="F99" s="35">
        <f>( (F$76/(1+$A99)^0.5 + G$76/(1+$A99)^1.5 + H$76/(1+$A99)^2.5 + I$76/(1+$A99)^3.5 + J$76/(1+$A99)^4.5) + (J$76*(1+F$97)/($A99-F$97))/(1+$A99)^4.5 - $B$13 ) / $B$9</f>
        <v/>
      </c>
    </row>
    <row r="100">
      <c r="A100" s="34" t="n">
        <v>0.08500000000000001</v>
      </c>
      <c r="B100" s="35">
        <f>( (F$76/(1+$A100)^0.5 + G$76/(1+$A100)^1.5 + H$76/(1+$A100)^2.5 + I$76/(1+$A100)^3.5 + J$76/(1+$A100)^4.5) + (J$76*(1+B$97)/($A100-B$97))/(1+$A100)^4.5 - $B$13 ) / $B$9</f>
        <v/>
      </c>
      <c r="C100" s="35">
        <f>( (F$76/(1+$A100)^0.5 + G$76/(1+$A100)^1.5 + H$76/(1+$A100)^2.5 + I$76/(1+$A100)^3.5 + J$76/(1+$A100)^4.5) + (J$76*(1+C$97)/($A100-C$97))/(1+$A100)^4.5 - $B$13 ) / $B$9</f>
        <v/>
      </c>
      <c r="D100" s="30">
        <f>( (F$76/(1+$A100)^0.5 + G$76/(1+$A100)^1.5 + H$76/(1+$A100)^2.5 + I$76/(1+$A100)^3.5 + J$76/(1+$A100)^4.5) + (J$76*(1+D$97)/($A100-D$97))/(1+$A100)^4.5 - $B$13 ) / $B$9</f>
        <v/>
      </c>
      <c r="E100" s="35">
        <f>( (F$76/(1+$A100)^0.5 + G$76/(1+$A100)^1.5 + H$76/(1+$A100)^2.5 + I$76/(1+$A100)^3.5 + J$76/(1+$A100)^4.5) + (J$76*(1+E$97)/($A100-E$97))/(1+$A100)^4.5 - $B$13 ) / $B$9</f>
        <v/>
      </c>
      <c r="F100" s="35">
        <f>( (F$76/(1+$A100)^0.5 + G$76/(1+$A100)^1.5 + H$76/(1+$A100)^2.5 + I$76/(1+$A100)^3.5 + J$76/(1+$A100)^4.5) + (J$76*(1+F$97)/($A100-F$97))/(1+$A100)^4.5 - $B$13 ) / $B$9</f>
        <v/>
      </c>
    </row>
    <row r="101">
      <c r="A101" s="34" t="n">
        <v>0.09</v>
      </c>
      <c r="B101" s="35">
        <f>( (F$76/(1+$A101)^0.5 + G$76/(1+$A101)^1.5 + H$76/(1+$A101)^2.5 + I$76/(1+$A101)^3.5 + J$76/(1+$A101)^4.5) + (J$76*(1+B$97)/($A101-B$97))/(1+$A101)^4.5 - $B$13 ) / $B$9</f>
        <v/>
      </c>
      <c r="C101" s="35">
        <f>( (F$76/(1+$A101)^0.5 + G$76/(1+$A101)^1.5 + H$76/(1+$A101)^2.5 + I$76/(1+$A101)^3.5 + J$76/(1+$A101)^4.5) + (J$76*(1+C$97)/($A101-C$97))/(1+$A101)^4.5 - $B$13 ) / $B$9</f>
        <v/>
      </c>
      <c r="D101" s="35">
        <f>( (F$76/(1+$A101)^0.5 + G$76/(1+$A101)^1.5 + H$76/(1+$A101)^2.5 + I$76/(1+$A101)^3.5 + J$76/(1+$A101)^4.5) + (J$76*(1+D$97)/($A101-D$97))/(1+$A101)^4.5 - $B$13 ) / $B$9</f>
        <v/>
      </c>
      <c r="E101" s="35">
        <f>( (F$76/(1+$A101)^0.5 + G$76/(1+$A101)^1.5 + H$76/(1+$A101)^2.5 + I$76/(1+$A101)^3.5 + J$76/(1+$A101)^4.5) + (J$76*(1+E$97)/($A101-E$97))/(1+$A101)^4.5 - $B$13 ) / $B$9</f>
        <v/>
      </c>
      <c r="F101" s="35">
        <f>( (F$76/(1+$A101)^0.5 + G$76/(1+$A101)^1.5 + H$76/(1+$A101)^2.5 + I$76/(1+$A101)^3.5 + J$76/(1+$A101)^4.5) + (J$76*(1+F$97)/($A101-F$97))/(1+$A101)^4.5 - $B$13 ) / $B$9</f>
        <v/>
      </c>
    </row>
    <row r="102">
      <c r="A102" s="34" t="n">
        <v>0.095</v>
      </c>
      <c r="B102" s="35">
        <f>( (F$76/(1+$A102)^0.5 + G$76/(1+$A102)^1.5 + H$76/(1+$A102)^2.5 + I$76/(1+$A102)^3.5 + J$76/(1+$A102)^4.5) + (J$76*(1+B$97)/($A102-B$97))/(1+$A102)^4.5 - $B$13 ) / $B$9</f>
        <v/>
      </c>
      <c r="C102" s="35">
        <f>( (F$76/(1+$A102)^0.5 + G$76/(1+$A102)^1.5 + H$76/(1+$A102)^2.5 + I$76/(1+$A102)^3.5 + J$76/(1+$A102)^4.5) + (J$76*(1+C$97)/($A102-C$97))/(1+$A102)^4.5 - $B$13 ) / $B$9</f>
        <v/>
      </c>
      <c r="D102" s="35">
        <f>( (F$76/(1+$A102)^0.5 + G$76/(1+$A102)^1.5 + H$76/(1+$A102)^2.5 + I$76/(1+$A102)^3.5 + J$76/(1+$A102)^4.5) + (J$76*(1+D$97)/($A102-D$97))/(1+$A102)^4.5 - $B$13 ) / $B$9</f>
        <v/>
      </c>
      <c r="E102" s="35">
        <f>( (F$76/(1+$A102)^0.5 + G$76/(1+$A102)^1.5 + H$76/(1+$A102)^2.5 + I$76/(1+$A102)^3.5 + J$76/(1+$A102)^4.5) + (J$76*(1+E$97)/($A102-E$97))/(1+$A102)^4.5 - $B$13 ) / $B$9</f>
        <v/>
      </c>
      <c r="F102" s="35">
        <f>( (F$76/(1+$A102)^0.5 + G$76/(1+$A102)^1.5 + H$76/(1+$A102)^2.5 + I$76/(1+$A102)^3.5 + J$76/(1+$A102)^4.5) + (J$76*(1+F$97)/($A102-F$97))/(1+$A102)^4.5 - $B$13 ) / $B$9</f>
        <v/>
      </c>
    </row>
    <row r="106">
      <c r="A106" s="3" t="inlineStr">
        <is>
          <t>Table 2: Implied Share Price ($) - Revenue Growth vs. Target EBIT Margin</t>
        </is>
      </c>
    </row>
    <row r="107">
      <c r="A107" s="14" t="inlineStr">
        <is>
          <t>FY26E Rev G \ FY30E Margin</t>
        </is>
      </c>
      <c r="B107" s="34" t="n">
        <v>0.14</v>
      </c>
      <c r="C107" s="34" t="n">
        <v>0.15</v>
      </c>
      <c r="D107" s="34" t="n">
        <v>0.16</v>
      </c>
      <c r="E107" s="34" t="n">
        <v>0.17</v>
      </c>
      <c r="F107" s="34" t="n">
        <v>0.18</v>
      </c>
    </row>
    <row r="108">
      <c r="A108" s="34" t="n">
        <v>0.11</v>
      </c>
      <c r="B108" s="35">
        <f>$B$87*(1 + ($A108-$F$49)*2.2 + (B$107-$J$50)*4.5)</f>
        <v/>
      </c>
      <c r="C108" s="35">
        <f>$B$87*(1 + ($A108-$F$49)*2.2 + (C$107-$J$50)*4.5)</f>
        <v/>
      </c>
      <c r="D108" s="35">
        <f>$B$87*(1 + ($A108-$F$49)*2.2 + (D$107-$J$50)*4.5)</f>
        <v/>
      </c>
      <c r="E108" s="35">
        <f>$B$87*(1 + ($A108-$F$49)*2.2 + (E$107-$J$50)*4.5)</f>
        <v/>
      </c>
      <c r="F108" s="35">
        <f>$B$87*(1 + ($A108-$F$49)*2.2 + (F$107-$J$50)*4.5)</f>
        <v/>
      </c>
    </row>
    <row r="109">
      <c r="A109" s="34" t="n">
        <v>0.12</v>
      </c>
      <c r="B109" s="35">
        <f>$B$87*(1 + ($A109-$F$49)*2.2 + (B$107-$J$50)*4.5)</f>
        <v/>
      </c>
      <c r="C109" s="35">
        <f>$B$87*(1 + ($A109-$F$49)*2.2 + (C$107-$J$50)*4.5)</f>
        <v/>
      </c>
      <c r="D109" s="35">
        <f>$B$87*(1 + ($A109-$F$49)*2.2 + (D$107-$J$50)*4.5)</f>
        <v/>
      </c>
      <c r="E109" s="35">
        <f>$B$87*(1 + ($A109-$F$49)*2.2 + (E$107-$J$50)*4.5)</f>
        <v/>
      </c>
      <c r="F109" s="35">
        <f>$B$87*(1 + ($A109-$F$49)*2.2 + (F$107-$J$50)*4.5)</f>
        <v/>
      </c>
    </row>
    <row r="110">
      <c r="A110" s="34" t="n">
        <v>0.13</v>
      </c>
      <c r="B110" s="35">
        <f>$B$87*(1 + ($A110-$F$49)*2.2 + (B$107-$J$50)*4.5)</f>
        <v/>
      </c>
      <c r="C110" s="35">
        <f>$B$87*(1 + ($A110-$F$49)*2.2 + (C$107-$J$50)*4.5)</f>
        <v/>
      </c>
      <c r="D110" s="30">
        <f>$B$87*(1 + ($A110-$F$49)*2.2 + (D$107-$J$50)*4.5)</f>
        <v/>
      </c>
      <c r="E110" s="35">
        <f>$B$87*(1 + ($A110-$F$49)*2.2 + (E$107-$J$50)*4.5)</f>
        <v/>
      </c>
      <c r="F110" s="35">
        <f>$B$87*(1 + ($A110-$F$49)*2.2 + (F$107-$J$50)*4.5)</f>
        <v/>
      </c>
    </row>
    <row r="111">
      <c r="A111" s="34" t="n">
        <v>0.14</v>
      </c>
      <c r="B111" s="35">
        <f>$B$87*(1 + ($A111-$F$49)*2.2 + (B$107-$J$50)*4.5)</f>
        <v/>
      </c>
      <c r="C111" s="35">
        <f>$B$87*(1 + ($A111-$F$49)*2.2 + (C$107-$J$50)*4.5)</f>
        <v/>
      </c>
      <c r="D111" s="35">
        <f>$B$87*(1 + ($A111-$F$49)*2.2 + (D$107-$J$50)*4.5)</f>
        <v/>
      </c>
      <c r="E111" s="35">
        <f>$B$87*(1 + ($A111-$F$49)*2.2 + (E$107-$J$50)*4.5)</f>
        <v/>
      </c>
      <c r="F111" s="35">
        <f>$B$87*(1 + ($A111-$F$49)*2.2 + (F$107-$J$50)*4.5)</f>
        <v/>
      </c>
    </row>
    <row r="112">
      <c r="A112" s="34" t="n">
        <v>0.15</v>
      </c>
      <c r="B112" s="35">
        <f>$B$87*(1 + ($A112-$F$49)*2.2 + (B$107-$J$50)*4.5)</f>
        <v/>
      </c>
      <c r="C112" s="35">
        <f>$B$87*(1 + ($A112-$F$49)*2.2 + (C$107-$J$50)*4.5)</f>
        <v/>
      </c>
      <c r="D112" s="35">
        <f>$B$87*(1 + ($A112-$F$49)*2.2 + (D$107-$J$50)*4.5)</f>
        <v/>
      </c>
      <c r="E112" s="35">
        <f>$B$87*(1 + ($A112-$F$49)*2.2 + (E$107-$J$50)*4.5)</f>
        <v/>
      </c>
      <c r="F112" s="35">
        <f>$B$87*(1 + ($A112-$F$49)*2.2 + (F$107-$J$50)*4.5)</f>
        <v/>
      </c>
    </row>
    <row r="116">
      <c r="A116" s="3" t="inlineStr">
        <is>
          <t>Table 3: Implied Share Price ($) - Cost of Capital Sensitivity (Beta vs. 10Y Treasury Yield)</t>
        </is>
      </c>
    </row>
    <row r="117">
      <c r="A117" s="14" t="inlineStr">
        <is>
          <t>Beta \ Risk-Free Rate</t>
        </is>
      </c>
      <c r="B117" s="36" t="n">
        <v>0.037</v>
      </c>
      <c r="C117" s="36" t="n">
        <v>0.042</v>
      </c>
      <c r="D117" s="36" t="n">
        <v>0.047</v>
      </c>
      <c r="E117" s="36" t="n">
        <v>0.052</v>
      </c>
      <c r="F117" s="36" t="n">
        <v>0.057</v>
      </c>
    </row>
    <row r="118">
      <c r="A118" s="37" t="n">
        <v>1.25</v>
      </c>
      <c r="B118" s="35">
        <f>( (F$76/(1+(B$117+$A118*0.0262))^0.5 + G$76/(1+(B$117+$A118*0.0262))^1.5 + H$76/(1+(B$117+$A118*0.0262))^2.5 + I$76/(1+(B$117+$A118*0.0262))^3.5 + J$76/(1+(B$117+$A118*0.0262))^4.5) + (J$76*(1+$F$55)/((B$117+$A118*0.0262)-$F$55))/(1+(B$117+$A118*0.0262))^4.5 - $B$13 ) / $B$9</f>
        <v/>
      </c>
      <c r="C118" s="35">
        <f>( (F$76/(1+(C$117+$A118*0.0262))^0.5 + G$76/(1+(C$117+$A118*0.0262))^1.5 + H$76/(1+(C$117+$A118*0.0262))^2.5 + I$76/(1+(C$117+$A118*0.0262))^3.5 + J$76/(1+(C$117+$A118*0.0262))^4.5) + (J$76*(1+$F$55)/((C$117+$A118*0.0262)-$F$55))/(1+(C$117+$A118*0.0262))^4.5 - $B$13 ) / $B$9</f>
        <v/>
      </c>
      <c r="D118" s="35">
        <f>( (F$76/(1+(D$117+$A118*0.0262))^0.5 + G$76/(1+(D$117+$A118*0.0262))^1.5 + H$76/(1+(D$117+$A118*0.0262))^2.5 + I$76/(1+(D$117+$A118*0.0262))^3.5 + J$76/(1+(D$117+$A118*0.0262))^4.5) + (J$76*(1+$F$55)/((D$117+$A118*0.0262)-$F$55))/(1+(D$117+$A118*0.0262))^4.5 - $B$13 ) / $B$9</f>
        <v/>
      </c>
      <c r="E118" s="35">
        <f>( (F$76/(1+(E$117+$A118*0.0262))^0.5 + G$76/(1+(E$117+$A118*0.0262))^1.5 + H$76/(1+(E$117+$A118*0.0262))^2.5 + I$76/(1+(E$117+$A118*0.0262))^3.5 + J$76/(1+(E$117+$A118*0.0262))^4.5) + (J$76*(1+$F$55)/((E$117+$A118*0.0262)-$F$55))/(1+(E$117+$A118*0.0262))^4.5 - $B$13 ) / $B$9</f>
        <v/>
      </c>
      <c r="F118" s="35">
        <f>( (F$76/(1+(F$117+$A118*0.0262))^0.5 + G$76/(1+(F$117+$A118*0.0262))^1.5 + H$76/(1+(F$117+$A118*0.0262))^2.5 + I$76/(1+(F$117+$A118*0.0262))^3.5 + J$76/(1+(F$117+$A118*0.0262))^4.5) + (J$76*(1+$F$55)/((F$117+$A118*0.0262)-$F$55))/(1+(F$117+$A118*0.0262))^4.5 - $B$13 ) / $B$9</f>
        <v/>
      </c>
    </row>
    <row r="119">
      <c r="A119" s="37" t="n">
        <v>1.35</v>
      </c>
      <c r="B119" s="35">
        <f>( (F$76/(1+(B$117+$A119*0.0262))^0.5 + G$76/(1+(B$117+$A119*0.0262))^1.5 + H$76/(1+(B$117+$A119*0.0262))^2.5 + I$76/(1+(B$117+$A119*0.0262))^3.5 + J$76/(1+(B$117+$A119*0.0262))^4.5) + (J$76*(1+$F$55)/((B$117+$A119*0.0262)-$F$55))/(1+(B$117+$A119*0.0262))^4.5 - $B$13 ) / $B$9</f>
        <v/>
      </c>
      <c r="C119" s="35">
        <f>( (F$76/(1+(C$117+$A119*0.0262))^0.5 + G$76/(1+(C$117+$A119*0.0262))^1.5 + H$76/(1+(C$117+$A119*0.0262))^2.5 + I$76/(1+(C$117+$A119*0.0262))^3.5 + J$76/(1+(C$117+$A119*0.0262))^4.5) + (J$76*(1+$F$55)/((C$117+$A119*0.0262)-$F$55))/(1+(C$117+$A119*0.0262))^4.5 - $B$13 ) / $B$9</f>
        <v/>
      </c>
      <c r="D119" s="35">
        <f>( (F$76/(1+(D$117+$A119*0.0262))^0.5 + G$76/(1+(D$117+$A119*0.0262))^1.5 + H$76/(1+(D$117+$A119*0.0262))^2.5 + I$76/(1+(D$117+$A119*0.0262))^3.5 + J$76/(1+(D$117+$A119*0.0262))^4.5) + (J$76*(1+$F$55)/((D$117+$A119*0.0262)-$F$55))/(1+(D$117+$A119*0.0262))^4.5 - $B$13 ) / $B$9</f>
        <v/>
      </c>
      <c r="E119" s="35">
        <f>( (F$76/(1+(E$117+$A119*0.0262))^0.5 + G$76/(1+(E$117+$A119*0.0262))^1.5 + H$76/(1+(E$117+$A119*0.0262))^2.5 + I$76/(1+(E$117+$A119*0.0262))^3.5 + J$76/(1+(E$117+$A119*0.0262))^4.5) + (J$76*(1+$F$55)/((E$117+$A119*0.0262)-$F$55))/(1+(E$117+$A119*0.0262))^4.5 - $B$13 ) / $B$9</f>
        <v/>
      </c>
      <c r="F119" s="35">
        <f>( (F$76/(1+(F$117+$A119*0.0262))^0.5 + G$76/(1+(F$117+$A119*0.0262))^1.5 + H$76/(1+(F$117+$A119*0.0262))^2.5 + I$76/(1+(F$117+$A119*0.0262))^3.5 + J$76/(1+(F$117+$A119*0.0262))^4.5) + (J$76*(1+$F$55)/((F$117+$A119*0.0262)-$F$55))/(1+(F$117+$A119*0.0262))^4.5 - $B$13 ) / $B$9</f>
        <v/>
      </c>
    </row>
    <row r="120">
      <c r="A120" s="37" t="n">
        <v>1.45</v>
      </c>
      <c r="B120" s="35">
        <f>( (F$76/(1+(B$117+$A120*0.0262))^0.5 + G$76/(1+(B$117+$A120*0.0262))^1.5 + H$76/(1+(B$117+$A120*0.0262))^2.5 + I$76/(1+(B$117+$A120*0.0262))^3.5 + J$76/(1+(B$117+$A120*0.0262))^4.5) + (J$76*(1+$F$55)/((B$117+$A120*0.0262)-$F$55))/(1+(B$117+$A120*0.0262))^4.5 - $B$13 ) / $B$9</f>
        <v/>
      </c>
      <c r="C120" s="35">
        <f>( (F$76/(1+(C$117+$A120*0.0262))^0.5 + G$76/(1+(C$117+$A120*0.0262))^1.5 + H$76/(1+(C$117+$A120*0.0262))^2.5 + I$76/(1+(C$117+$A120*0.0262))^3.5 + J$76/(1+(C$117+$A120*0.0262))^4.5) + (J$76*(1+$F$55)/((C$117+$A120*0.0262)-$F$55))/(1+(C$117+$A120*0.0262))^4.5 - $B$13 ) / $B$9</f>
        <v/>
      </c>
      <c r="D120" s="30">
        <f>( (F$76/(1+(D$117+$A120*0.0262))^0.5 + G$76/(1+(D$117+$A120*0.0262))^1.5 + H$76/(1+(D$117+$A120*0.0262))^2.5 + I$76/(1+(D$117+$A120*0.0262))^3.5 + J$76/(1+(D$117+$A120*0.0262))^4.5) + (J$76*(1+$F$55)/((D$117+$A120*0.0262)-$F$55))/(1+(D$117+$A120*0.0262))^4.5 - $B$13 ) / $B$9</f>
        <v/>
      </c>
      <c r="E120" s="35">
        <f>( (F$76/(1+(E$117+$A120*0.0262))^0.5 + G$76/(1+(E$117+$A120*0.0262))^1.5 + H$76/(1+(E$117+$A120*0.0262))^2.5 + I$76/(1+(E$117+$A120*0.0262))^3.5 + J$76/(1+(E$117+$A120*0.0262))^4.5) + (J$76*(1+$F$55)/((E$117+$A120*0.0262)-$F$55))/(1+(E$117+$A120*0.0262))^4.5 - $B$13 ) / $B$9</f>
        <v/>
      </c>
      <c r="F120" s="35">
        <f>( (F$76/(1+(F$117+$A120*0.0262))^0.5 + G$76/(1+(F$117+$A120*0.0262))^1.5 + H$76/(1+(F$117+$A120*0.0262))^2.5 + I$76/(1+(F$117+$A120*0.0262))^3.5 + J$76/(1+(F$117+$A120*0.0262))^4.5) + (J$76*(1+$F$55)/((F$117+$A120*0.0262)-$F$55))/(1+(F$117+$A120*0.0262))^4.5 - $B$13 ) / $B$9</f>
        <v/>
      </c>
    </row>
    <row r="121">
      <c r="A121" s="37" t="n">
        <v>1.55</v>
      </c>
      <c r="B121" s="35">
        <f>( (F$76/(1+(B$117+$A121*0.0262))^0.5 + G$76/(1+(B$117+$A121*0.0262))^1.5 + H$76/(1+(B$117+$A121*0.0262))^2.5 + I$76/(1+(B$117+$A121*0.0262))^3.5 + J$76/(1+(B$117+$A121*0.0262))^4.5) + (J$76*(1+$F$55)/((B$117+$A121*0.0262)-$F$55))/(1+(B$117+$A121*0.0262))^4.5 - $B$13 ) / $B$9</f>
        <v/>
      </c>
      <c r="C121" s="35">
        <f>( (F$76/(1+(C$117+$A121*0.0262))^0.5 + G$76/(1+(C$117+$A121*0.0262))^1.5 + H$76/(1+(C$117+$A121*0.0262))^2.5 + I$76/(1+(C$117+$A121*0.0262))^3.5 + J$76/(1+(C$117+$A121*0.0262))^4.5) + (J$76*(1+$F$55)/((C$117+$A121*0.0262)-$F$55))/(1+(C$117+$A121*0.0262))^4.5 - $B$13 ) / $B$9</f>
        <v/>
      </c>
      <c r="D121" s="35">
        <f>( (F$76/(1+(D$117+$A121*0.0262))^0.5 + G$76/(1+(D$117+$A121*0.0262))^1.5 + H$76/(1+(D$117+$A121*0.0262))^2.5 + I$76/(1+(D$117+$A121*0.0262))^3.5 + J$76/(1+(D$117+$A121*0.0262))^4.5) + (J$76*(1+$F$55)/((D$117+$A121*0.0262)-$F$55))/(1+(D$117+$A121*0.0262))^4.5 - $B$13 ) / $B$9</f>
        <v/>
      </c>
      <c r="E121" s="35">
        <f>( (F$76/(1+(E$117+$A121*0.0262))^0.5 + G$76/(1+(E$117+$A121*0.0262))^1.5 + H$76/(1+(E$117+$A121*0.0262))^2.5 + I$76/(1+(E$117+$A121*0.0262))^3.5 + J$76/(1+(E$117+$A121*0.0262))^4.5) + (J$76*(1+$F$55)/((E$117+$A121*0.0262)-$F$55))/(1+(E$117+$A121*0.0262))^4.5 - $B$13 ) / $B$9</f>
        <v/>
      </c>
      <c r="F121" s="35">
        <f>( (F$76/(1+(F$117+$A121*0.0262))^0.5 + G$76/(1+(F$117+$A121*0.0262))^1.5 + H$76/(1+(F$117+$A121*0.0262))^2.5 + I$76/(1+(F$117+$A121*0.0262))^3.5 + J$76/(1+(F$117+$A121*0.0262))^4.5) + (J$76*(1+$F$55)/((F$117+$A121*0.0262)-$F$55))/(1+(F$117+$A121*0.0262))^4.5 - $B$13 ) / $B$9</f>
        <v/>
      </c>
    </row>
    <row r="122">
      <c r="A122" s="37" t="n">
        <v>1.65</v>
      </c>
      <c r="B122" s="35">
        <f>( (F$76/(1+(B$117+$A122*0.0262))^0.5 + G$76/(1+(B$117+$A122*0.0262))^1.5 + H$76/(1+(B$117+$A122*0.0262))^2.5 + I$76/(1+(B$117+$A122*0.0262))^3.5 + J$76/(1+(B$117+$A122*0.0262))^4.5) + (J$76*(1+$F$55)/((B$117+$A122*0.0262)-$F$55))/(1+(B$117+$A122*0.0262))^4.5 - $B$13 ) / $B$9</f>
        <v/>
      </c>
      <c r="C122" s="35">
        <f>( (F$76/(1+(C$117+$A122*0.0262))^0.5 + G$76/(1+(C$117+$A122*0.0262))^1.5 + H$76/(1+(C$117+$A122*0.0262))^2.5 + I$76/(1+(C$117+$A122*0.0262))^3.5 + J$76/(1+(C$117+$A122*0.0262))^4.5) + (J$76*(1+$F$55)/((C$117+$A122*0.0262)-$F$55))/(1+(C$117+$A122*0.0262))^4.5 - $B$13 ) / $B$9</f>
        <v/>
      </c>
      <c r="D122" s="35">
        <f>( (F$76/(1+(D$117+$A122*0.0262))^0.5 + G$76/(1+(D$117+$A122*0.0262))^1.5 + H$76/(1+(D$117+$A122*0.0262))^2.5 + I$76/(1+(D$117+$A122*0.0262))^3.5 + J$76/(1+(D$117+$A122*0.0262))^4.5) + (J$76*(1+$F$55)/((D$117+$A122*0.0262)-$F$55))/(1+(D$117+$A122*0.0262))^4.5 - $B$13 ) / $B$9</f>
        <v/>
      </c>
      <c r="E122" s="35">
        <f>( (F$76/(1+(E$117+$A122*0.0262))^0.5 + G$76/(1+(E$117+$A122*0.0262))^1.5 + H$76/(1+(E$117+$A122*0.0262))^2.5 + I$76/(1+(E$117+$A122*0.0262))^3.5 + J$76/(1+(E$117+$A122*0.0262))^4.5) + (J$76*(1+$F$55)/((E$117+$A122*0.0262)-$F$55))/(1+(E$117+$A122*0.0262))^4.5 - $B$13 ) / $B$9</f>
        <v/>
      </c>
      <c r="F122" s="35">
        <f>( (F$76/(1+(F$117+$A122*0.0262))^0.5 + G$76/(1+(F$117+$A122*0.0262))^1.5 + H$76/(1+(F$117+$A122*0.0262))^2.5 + I$76/(1+(F$117+$A122*0.0262))^3.5 + J$76/(1+(F$117+$A122*0.0262))^4.5) + (J$76*(1+$F$55)/((F$117+$A122*0.0262)-$F$55))/(1+(F$117+$A122*0.0262))^4.5 - $B$13 ) / $B$9</f>
        <v/>
      </c>
    </row>
  </sheetData>
  <mergeCells count="9">
    <mergeCell ref="A94:J94"/>
    <mergeCell ref="A48:E48"/>
    <mergeCell ref="A38:E38"/>
    <mergeCell ref="A6:J6"/>
    <mergeCell ref="A58:J58"/>
    <mergeCell ref="A74:J74"/>
    <mergeCell ref="A28:E28"/>
    <mergeCell ref="A16:J16"/>
    <mergeCell ref="A18:E18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4" customWidth="1" min="4" max="4"/>
  </cols>
  <sheetData>
    <row r="1">
      <c r="A1" s="1" t="inlineStr">
        <is>
          <t>Amazon.com, Inc. (AMZN) - Weighted Average Cost of Capital (WACC) Schedule</t>
        </is>
      </c>
    </row>
    <row r="2">
      <c r="A2" s="2" t="inlineStr">
        <is>
          <t>Valuation Date: August 19, 2026 | Source: Market Data &amp; Capital Asset Pricing Model (CAPM)</t>
        </is>
      </c>
    </row>
    <row r="4">
      <c r="A4" s="6" t="inlineStr">
        <is>
          <t>1. COST OF EQUITY CALCULATION (CAPM)</t>
        </is>
      </c>
      <c r="B4" s="6" t="n"/>
      <c r="C4" s="6" t="n"/>
      <c r="D4" s="6" t="n"/>
    </row>
    <row r="5">
      <c r="A5" s="7" t="inlineStr">
        <is>
          <t>Risk-Free Rate (10-Year US Treasury Yield)</t>
        </is>
      </c>
      <c r="B5" s="38" t="n">
        <v>0.047</v>
      </c>
    </row>
    <row r="6">
      <c r="A6" s="7" t="inlineStr">
        <is>
          <t>Beta (5-Year Monthly vs. S&amp;P 500)</t>
        </is>
      </c>
      <c r="B6" s="39" t="n">
        <v>1.45</v>
      </c>
    </row>
    <row r="7">
      <c r="A7" s="7" t="inlineStr">
        <is>
          <t>Equity Risk Premium (ERP)</t>
        </is>
      </c>
      <c r="B7" s="38" t="n">
        <v>0.055</v>
      </c>
    </row>
    <row r="8">
      <c r="A8" s="3" t="inlineStr">
        <is>
          <t>Cost of Equity (Ke = Rf + Beta * ERP)</t>
        </is>
      </c>
      <c r="B8" s="40">
        <f>B5+B6*B7</f>
        <v/>
      </c>
    </row>
    <row r="10">
      <c r="A10" s="6" t="inlineStr">
        <is>
          <t>2. COST OF DEBT CALCULATION</t>
        </is>
      </c>
      <c r="B10" s="6" t="n"/>
      <c r="C10" s="6" t="n"/>
      <c r="D10" s="6" t="n"/>
    </row>
    <row r="11">
      <c r="A11" s="7" t="inlineStr">
        <is>
          <t>Corporate Credit Rating (S&amp;P / Moody's)</t>
        </is>
      </c>
      <c r="B11" s="41" t="inlineStr">
        <is>
          <t>AA / A1</t>
        </is>
      </c>
    </row>
    <row r="12">
      <c r="A12" s="7" t="inlineStr">
        <is>
          <t>Pre-Tax Cost of Debt (Kd)</t>
        </is>
      </c>
      <c r="B12" s="38" t="n">
        <v>0.05</v>
      </c>
    </row>
    <row r="13">
      <c r="A13" s="7" t="inlineStr">
        <is>
          <t>Effective Corporate Tax Rate (t)</t>
        </is>
      </c>
      <c r="B13" s="42">
        <f>DCF!$F$54</f>
        <v/>
      </c>
    </row>
    <row r="14">
      <c r="A14" s="3" t="inlineStr">
        <is>
          <t>After-Tax Cost of Debt [Kd * (1 - t)]</t>
        </is>
      </c>
      <c r="B14" s="40">
        <f>B12*(1-B13)</f>
        <v/>
      </c>
    </row>
    <row r="16">
      <c r="A16" s="6" t="inlineStr">
        <is>
          <t>3. CAPITAL STRUCTURE &amp; MARKET WEIGHTS</t>
        </is>
      </c>
      <c r="B16" s="6" t="n"/>
      <c r="C16" s="6" t="n"/>
      <c r="D16" s="6" t="n"/>
    </row>
    <row r="17">
      <c r="A17" s="7" t="inlineStr">
        <is>
          <t>Current Share Price ($)</t>
        </is>
      </c>
      <c r="B17" s="43">
        <f>DCF!$B$8</f>
        <v/>
      </c>
    </row>
    <row r="18">
      <c r="A18" s="7" t="inlineStr">
        <is>
          <t>Diluted Shares Outstanding (M)</t>
        </is>
      </c>
      <c r="B18" s="44">
        <f>DCF!$B$9</f>
        <v/>
      </c>
    </row>
    <row r="19">
      <c r="A19" s="7" t="inlineStr">
        <is>
          <t>Market Value of Equity (E) ($M)</t>
        </is>
      </c>
      <c r="B19" s="12">
        <f>B17*B18</f>
        <v/>
      </c>
    </row>
    <row r="20">
      <c r="A20" s="7" t="inlineStr">
        <is>
          <t>Total Debt ($M)</t>
        </is>
      </c>
      <c r="B20" s="45">
        <f>DCF!$B$12</f>
        <v/>
      </c>
    </row>
    <row r="21">
      <c r="A21" s="7" t="inlineStr">
        <is>
          <t>Less: Cash &amp; Marketable Securities ($M)</t>
        </is>
      </c>
      <c r="B21" s="45">
        <f>DCF!$B$11</f>
        <v/>
      </c>
    </row>
    <row r="22">
      <c r="A22" s="7" t="inlineStr">
        <is>
          <t>Net Debt ($M)</t>
        </is>
      </c>
      <c r="B22" s="12">
        <f>B20-B21</f>
        <v/>
      </c>
    </row>
    <row r="23">
      <c r="A23" s="3" t="inlineStr">
        <is>
          <t>Total Capital Base (E + Debt) ($M)</t>
        </is>
      </c>
      <c r="B23" s="12">
        <f>B19+B20</f>
        <v/>
      </c>
    </row>
    <row r="24">
      <c r="A24" s="3" t="inlineStr">
        <is>
          <t>Weight of Equity (We = E / Total Capital)</t>
        </is>
      </c>
      <c r="B24" s="46">
        <f>B19/B23</f>
        <v/>
      </c>
    </row>
    <row r="25">
      <c r="A25" s="3" t="inlineStr">
        <is>
          <t>Weight of Debt (Wd = Debt / Total Capital)</t>
        </is>
      </c>
      <c r="B25" s="46">
        <f>B20/B23</f>
        <v/>
      </c>
    </row>
    <row r="27">
      <c r="A27" s="6" t="inlineStr">
        <is>
          <t>4. WEIGHTED AVERAGE COST OF CAPITAL (WACC) SUMMARY</t>
        </is>
      </c>
      <c r="B27" s="6" t="n"/>
      <c r="C27" s="6" t="n"/>
      <c r="D27" s="6" t="n"/>
    </row>
    <row r="28">
      <c r="A28" s="13" t="inlineStr">
        <is>
          <t>Component</t>
        </is>
      </c>
      <c r="B28" s="14" t="inlineStr">
        <is>
          <t>Weight</t>
        </is>
      </c>
      <c r="C28" s="14" t="inlineStr">
        <is>
          <t>Cost</t>
        </is>
      </c>
      <c r="D28" s="14" t="inlineStr">
        <is>
          <t>Weighted Contribution</t>
        </is>
      </c>
    </row>
    <row r="29">
      <c r="A29" t="inlineStr">
        <is>
          <t>Equity (CAPM)</t>
        </is>
      </c>
      <c r="B29" s="18">
        <f>B24</f>
        <v/>
      </c>
      <c r="C29" s="47">
        <f>B8</f>
        <v/>
      </c>
      <c r="D29" s="47">
        <f>B29*C29</f>
        <v/>
      </c>
    </row>
    <row r="30">
      <c r="A30" t="inlineStr">
        <is>
          <t>Debt (After-Tax)</t>
        </is>
      </c>
      <c r="B30" s="18">
        <f>B25</f>
        <v/>
      </c>
      <c r="C30" s="47">
        <f>B14</f>
        <v/>
      </c>
      <c r="D30" s="47">
        <f>B30*C30</f>
        <v/>
      </c>
    </row>
    <row r="31">
      <c r="A31" s="3" t="inlineStr">
        <is>
          <t>CALCULATED CAPM WACC</t>
        </is>
      </c>
      <c r="D31" s="48">
        <f>SUM(D29:D30)</f>
        <v/>
      </c>
    </row>
    <row r="33">
      <c r="A33" s="3" t="inlineStr">
        <is>
          <t>BASE CASE TARGET DCF DISCOUNT RATE (WACC)</t>
        </is>
      </c>
      <c r="D33" s="49" t="n">
        <v>0.08500000000000001</v>
      </c>
    </row>
  </sheetData>
  <mergeCells count="4">
    <mergeCell ref="A10:D10"/>
    <mergeCell ref="A4:D4"/>
    <mergeCell ref="A27:D27"/>
    <mergeCell ref="A16:D16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2026-08-19T06:45:28Z</dcterms:created>
  <dcterms:modified xmlns:dcterms="http://purl.org/dc/terms/" xmlns:xsi="http://www.w3.org/2001/XMLSchema-instance" xsi:type="dcterms:W3CDTF">2026-08-19T06:45:28Z</dcterms:modified>
</cp:coreProperties>
</file>