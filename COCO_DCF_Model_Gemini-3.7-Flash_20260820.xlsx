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Valuation" sheetId="1" state="visible" r:id="rId1"/>
    <sheet xmlns:r="http://schemas.openxmlformats.org/officeDocument/2006/relationships" name="WACC Bui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$#,##0.00"/>
    <numFmt numFmtId="166" formatCode="0.0"/>
    <numFmt numFmtId="167" formatCode="0.0000"/>
    <numFmt numFmtId="168" formatCode="0.0x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i val="1"/>
      <color rgb="00595959"/>
      <sz val="9"/>
    </font>
    <font>
      <name val="Calibri"/>
      <b val="1"/>
      <color rgb="001F4E79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10" fillId="4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0" borderId="2" pivotButton="0" quotePrefix="0" xfId="0"/>
    <xf numFmtId="165" fontId="5" fillId="3" borderId="2" applyAlignment="1" pivotButton="0" quotePrefix="0" xfId="0">
      <alignment horizontal="right" vertical="center"/>
    </xf>
    <xf numFmtId="4" fontId="5" fillId="3" borderId="2" applyAlignment="1" pivotButton="0" quotePrefix="0" xfId="0">
      <alignment horizontal="right" vertical="center"/>
    </xf>
    <xf numFmtId="0" fontId="6" fillId="0" borderId="2" pivotButton="0" quotePrefix="0" xfId="0"/>
    <xf numFmtId="165" fontId="6" fillId="4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5" borderId="3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0" fillId="0" borderId="2" pivotButton="0" quotePrefix="0" xfId="0"/>
    <xf numFmtId="164" fontId="4" fillId="0" borderId="2" applyAlignment="1" pivotButton="0" quotePrefix="0" xfId="0">
      <alignment horizontal="center" vertical="center"/>
    </xf>
    <xf numFmtId="0" fontId="8" fillId="0" borderId="2" pivotButton="0" quotePrefix="0" xfId="0"/>
    <xf numFmtId="10" fontId="5" fillId="3" borderId="2" applyAlignment="1" pivotButton="0" quotePrefix="0" xfId="0">
      <alignment horizontal="right" vertical="center"/>
    </xf>
    <xf numFmtId="10" fontId="4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4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0" fontId="6" fillId="4" borderId="2" applyAlignment="1" pivotButton="0" quotePrefix="0" xfId="0">
      <alignment horizontal="right" vertical="center"/>
    </xf>
    <xf numFmtId="10" fontId="9" fillId="4" borderId="2" applyAlignment="1" pivotButton="0" quotePrefix="0" xfId="0">
      <alignment horizontal="right" vertical="center"/>
    </xf>
    <xf numFmtId="165" fontId="6" fillId="7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0" fontId="9" fillId="0" borderId="2" pivotButton="0" quotePrefix="0" xfId="0"/>
    <xf numFmtId="165" fontId="9" fillId="4" borderId="2" applyAlignment="1" pivotButton="0" quotePrefix="0" xfId="0">
      <alignment horizontal="right" vertical="center"/>
    </xf>
    <xf numFmtId="166" fontId="5" fillId="3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right" vertical="center"/>
    </xf>
    <xf numFmtId="0" fontId="9" fillId="4" borderId="2" pivotButton="0" quotePrefix="0" xfId="0"/>
    <xf numFmtId="4" fontId="4" fillId="0" borderId="2" applyAlignment="1" pivotButton="0" quotePrefix="0" xfId="0">
      <alignment horizontal="right" vertical="center"/>
    </xf>
    <xf numFmtId="164" fontId="9" fillId="4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right" vertical="center"/>
    </xf>
    <xf numFmtId="0" fontId="9" fillId="0" borderId="0" pivotButton="0" quotePrefix="0" xfId="0"/>
    <xf numFmtId="10" fontId="5" fillId="5" borderId="3" applyAlignment="1" pivotButton="0" quotePrefix="0" xfId="0">
      <alignment horizontal="center" vertical="center"/>
    </xf>
    <xf numFmtId="10" fontId="10" fillId="4" borderId="3" applyAlignment="1" pivotButton="0" quotePrefix="0" xfId="0">
      <alignment horizontal="center" vertical="center"/>
    </xf>
    <xf numFmtId="10" fontId="5" fillId="5" borderId="2" applyAlignment="1" pivotButton="0" quotePrefix="0" xfId="0">
      <alignment horizontal="center" vertical="center"/>
    </xf>
    <xf numFmtId="10" fontId="10" fillId="4" borderId="2" applyAlignment="1" pivotButton="0" quotePrefix="0" xfId="0">
      <alignment horizontal="center" vertical="center"/>
    </xf>
    <xf numFmtId="164" fontId="5" fillId="5" borderId="3" applyAlignment="1" pivotButton="0" quotePrefix="0" xfId="0">
      <alignment horizontal="center" vertical="center"/>
    </xf>
    <xf numFmtId="164" fontId="10" fillId="4" borderId="3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4" fontId="10" fillId="4" borderId="2" applyAlignment="1" pivotButton="0" quotePrefix="0" xfId="0">
      <alignment horizontal="center" vertical="center"/>
    </xf>
    <xf numFmtId="2" fontId="5" fillId="5" borderId="2" applyAlignment="1" pivotButton="0" quotePrefix="0" xfId="0">
      <alignment horizontal="center" vertical="center"/>
    </xf>
    <xf numFmtId="2" fontId="10" fillId="4" borderId="2" applyAlignment="1" pivotButton="0" quotePrefix="0" xfId="0">
      <alignment horizontal="center" vertical="center"/>
    </xf>
    <xf numFmtId="2" fontId="5" fillId="3" borderId="2" applyAlignment="1" pivotButton="0" quotePrefix="0" xfId="0">
      <alignment horizontal="right" vertical="center"/>
    </xf>
    <xf numFmtId="49" fontId="5" fillId="3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9" fillId="4" borderId="4" pivotButton="0" quotePrefix="0" xfId="0"/>
    <xf numFmtId="164" fontId="9" fillId="4" borderId="4" applyAlignment="1" pivotButton="0" quotePrefix="0" xfId="0">
      <alignment horizontal="right" vertical="center"/>
    </xf>
    <xf numFmtId="0" fontId="0" fillId="4" borderId="4" applyAlignment="1" pivotButton="0" quotePrefix="0" xfId="0">
      <alignment horizontal="center" vertical="center"/>
    </xf>
    <xf numFmtId="10" fontId="9" fillId="4" borderId="4" applyAlignment="1" pivotButton="0" quotePrefix="0" xfId="0">
      <alignment horizontal="right" vertical="center"/>
    </xf>
    <xf numFmtId="0" fontId="8" fillId="4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DCF Model Builder</author>
  </authors>
  <commentList>
    <comment ref="B4" authorId="0" shapeId="0">
      <text>
        <t>Enter 1 for Bear Case, 2 for Base Case, 3 for Bull Case. All projections update dynamically.</t>
      </text>
    </comment>
    <comment ref="B8" authorId="0" shapeId="0">
      <text>
        <t>Source: NASDAQ closing price as of August 20, 2026 ($63.50)</t>
      </text>
    </comment>
    <comment ref="B9" authorId="0" shapeId="0">
      <text>
        <t>Source: Form 10-Q / 10-K Diluted common shares outstanding (57.86M)</t>
      </text>
    </comment>
    <comment ref="B11" authorId="0" shapeId="0">
      <text>
        <t>Source: Form 10-Q Q2 2026 Balance Sheet total cash &amp; liquid reserves ($279.00M)</t>
      </text>
    </comment>
    <comment ref="B12" authorId="0" shapeId="0">
      <text>
        <t>Source: Form 10-Q / 10-K Balance Sheet total carrying debt balance ($0.00M)</t>
      </text>
    </comment>
    <comment ref="B14" authorId="0" shapeId="0">
      <text>
        <t>Source: Historical effective corporate tax rate benchmark (22.5%)</t>
      </text>
    </comment>
    <comment ref="B63" authorId="0" shapeId="0">
      <text>
        <t>Source: Form 10-K FY2023 Consolidated Statements of Operations ($493.61M)</t>
      </text>
    </comment>
    <comment ref="C63" authorId="0" shapeId="0">
      <text>
        <t>Source: Form 10-K FY2024 Consolidated Statements of Operations ($516.01M)</t>
      </text>
    </comment>
    <comment ref="D63" authorId="0" shapeId="0">
      <text>
        <t>Source: Form 10-K FY2025 Consolidated Statements of Operations ($609.80M)</t>
      </text>
    </comment>
    <comment ref="B64" authorId="0" shapeId="0">
      <text>
        <t>Source: Form 10-K FY2023 Net Sales YoY Growth (+15.4%)</t>
      </text>
    </comment>
    <comment ref="B65" authorId="0" shapeId="0">
      <text>
        <t>Source: Form 10-K FY2023 Cost of Goods Sold ($312.88M)</t>
      </text>
    </comment>
    <comment ref="C65" authorId="0" shapeId="0">
      <text>
        <t>Source: Form 10-K FY2024 Cost of Goods Sold ($317.23M)</t>
      </text>
    </comment>
    <comment ref="D65" authorId="0" shapeId="0">
      <text>
        <t>Source: Form 10-K FY2025 Cost of Goods Sold ($387.20M)</t>
      </text>
    </comment>
    <comment ref="B68" authorId="0" shapeId="0">
      <text>
        <t>Source: Form 10-K FY2023 SG&amp;A Expense ($124.24M)</t>
      </text>
    </comment>
    <comment ref="C68" authorId="0" shapeId="0">
      <text>
        <t>Source: Form 10-K FY2024 SG&amp;A Expense ($124.96M)</t>
      </text>
    </comment>
    <comment ref="D68" authorId="0" shapeId="0">
      <text>
        <t>Source: Form 10-K FY2025 SG&amp;A Expense ($140.10M)</t>
      </text>
    </comment>
    <comment ref="B70" authorId="0" shapeId="0">
      <text>
        <t>Source: Form 10-K FY2023 Operating Income ($56.49M)</t>
      </text>
    </comment>
    <comment ref="C70" authorId="0" shapeId="0">
      <text>
        <t>Source: Form 10-K FY2024 Operating Income ($73.82M)</t>
      </text>
    </comment>
    <comment ref="D70" authorId="0" shapeId="0">
      <text>
        <t>Source: Form 10-K FY2025 Operating Income ($82.50M)</t>
      </text>
    </comment>
    <comment ref="B72" authorId="0" shapeId="0">
      <text>
        <t>Source: Form 10-K FY2023 Income Tax Provision ($12.43M)</t>
      </text>
    </comment>
    <comment ref="C72" authorId="0" shapeId="0">
      <text>
        <t>Source: Form 10-K FY2024 Income Tax Provision ($16.61M)</t>
      </text>
    </comment>
    <comment ref="D72" authorId="0" shapeId="0">
      <text>
        <t>Source: Form 10-K FY2025 Income Tax Provision ($18.98M)</t>
      </text>
    </comment>
    <comment ref="B79" authorId="0" shapeId="0">
      <text>
        <t>Source: Form 10-K FY2023 Cash Flow Statement D&amp;A ($0.66M)</t>
      </text>
    </comment>
    <comment ref="C79" authorId="0" shapeId="0">
      <text>
        <t>Source: Form 10-K FY2024 Cash Flow Statement D&amp;A ($0.75M)</t>
      </text>
    </comment>
    <comment ref="D79" authorId="0" shapeId="0">
      <text>
        <t>Source: Form 10-K FY2025 Cash Flow Statement D&amp;A ($1.00M)</t>
      </text>
    </comment>
    <comment ref="B80" authorId="0" shapeId="0">
      <text>
        <t>Source: Form 10-K FY2023 Purchases of Property &amp; Equipment ($1.50M)</t>
      </text>
    </comment>
    <comment ref="C80" authorId="0" shapeId="0">
      <text>
        <t>Source: Form 10-K FY2024 Purchases of Property &amp; Equipment ($2.00M)</t>
      </text>
    </comment>
    <comment ref="D80" authorId="0" shapeId="0">
      <text>
        <t>Source: Form 10-K FY2025 Purchases of Property &amp; Equipment ($2.50M)</t>
      </text>
    </comment>
    <comment ref="B81" authorId="0" shapeId="0">
      <text>
        <t>Source: Form 10-K FY2023 Operating assets &amp; liabilities change ($12.00M)</t>
      </text>
    </comment>
    <comment ref="C81" authorId="0" shapeId="0">
      <text>
        <t>Source: Form 10-K FY2024 Operating assets &amp; liabilities change ($10.00M)</t>
      </text>
    </comment>
    <comment ref="D81" authorId="0" shapeId="0">
      <text>
        <t>Source: Form 10-K FY2025 Operating assets &amp; liabilities change ($15.00M)</t>
      </text>
    </comment>
  </commentList>
</comments>
</file>

<file path=xl/comments/comment2.xml><?xml version="1.0" encoding="utf-8"?>
<comments xmlns="http://schemas.openxmlformats.org/spreadsheetml/2006/main">
  <authors>
    <author>DCF Model Builder</author>
  </authors>
  <commentList>
    <comment ref="B5" authorId="0" shapeId="0">
      <text>
        <t>Source: US 10-Year Treasury Yield benchmark as of August 20, 2026 (4.63%)</t>
      </text>
    </comment>
    <comment ref="B6" authorId="0" shapeId="0">
      <text>
        <t>Source: 5-year monthly regression beta vs S&amp;P 500 (Reflects non-cyclical beverage/staples profile)</t>
      </text>
    </comment>
    <comment ref="B7" authorId="0" shapeId="0">
      <text>
        <t>Source: Institutional consensus equity risk premium (5.50%)</t>
      </text>
    </comment>
    <comment ref="B11" authorId="0" shapeId="0">
      <text>
        <t>Source: Pristine balance sheet with zero funded debt and strong cash flow generation</t>
      </text>
    </comment>
    <comment ref="B12" authorId="0" shapeId="0">
      <text>
        <t>Source: Benchmark commercial borrowing cost (5.00%)</t>
      </text>
    </comment>
    <comment ref="B13" authorId="0" shapeId="0">
      <text>
        <t>Source: Historical normalized effective corporate tax rate (22.5%)</t>
      </text>
    </comment>
    <comment ref="B18" authorId="0" shapeId="0">
      <text>
        <t>Source: Form 10-Q / 10-K Balance Sheet total carrying debt balance ($0.00M)</t>
      </text>
    </comment>
    <comment ref="B19" authorId="0" shapeId="0">
      <text>
        <t>Source: Form 10-Q Q2 2026 Balance Sheet total cash &amp; liquid reserves ($279.00M)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7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42" customWidth="1" min="9" max="9"/>
  </cols>
  <sheetData>
    <row r="1">
      <c r="A1" s="1" t="inlineStr">
        <is>
          <t>The Vita Coco Company, Inc. (NASDAQ: COCO)</t>
        </is>
      </c>
    </row>
    <row r="2">
      <c r="A2" s="2" t="inlineStr">
        <is>
          <t>Institutional Discounted Cash Flow (DCF) Valuation Model | 5-Year Explicit Forecast (FY2026E - FY2030E)</t>
        </is>
      </c>
    </row>
    <row r="3"/>
    <row r="4">
      <c r="A4" s="3" t="inlineStr">
        <is>
          <t>Case Selector (1=Bear, 2=Base, 3=Bull):</t>
        </is>
      </c>
      <c r="B4" s="4" t="n">
        <v>2</v>
      </c>
    </row>
    <row r="5">
      <c r="A5" s="3" t="inlineStr">
        <is>
          <t>Active Scenario:</t>
        </is>
      </c>
      <c r="B5" s="5">
        <f>IF(B4=1,"Bear Case (Downside / Growth Deceleration &amp; Tariff Headwinds)",IF(B4=2,"Base Case (Consensus / Category Expansion &amp; Margin Recovery)","Bull Case (Global Penetration, Innovation &amp; Operating Leverage)"))</f>
        <v/>
      </c>
    </row>
    <row r="6"/>
    <row r="7">
      <c r="A7" s="6" t="inlineStr">
        <is>
          <t>MARKET DATA &amp; VALUATION PARAMETERS</t>
        </is>
      </c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8" t="inlineStr">
        <is>
          <t>Current Stock Price ($)</t>
        </is>
      </c>
      <c r="B8" s="9" t="n">
        <v>63.5</v>
      </c>
    </row>
    <row r="9">
      <c r="A9" s="8" t="inlineStr">
        <is>
          <t>Diluted Shares Outstanding (M)</t>
        </is>
      </c>
      <c r="B9" s="10" t="n">
        <v>57.86</v>
      </c>
    </row>
    <row r="10">
      <c r="A10" s="11" t="inlineStr">
        <is>
          <t>Market Capitalization ($M)</t>
        </is>
      </c>
      <c r="B10" s="12">
        <f>B8*B9</f>
        <v/>
      </c>
    </row>
    <row r="11">
      <c r="A11" s="8" t="inlineStr">
        <is>
          <t>Cash, Cash Equivalents &amp; ST Investments ($M)</t>
        </is>
      </c>
      <c r="B11" s="9" t="n">
        <v>279</v>
      </c>
    </row>
    <row r="12">
      <c r="A12" s="8" t="inlineStr">
        <is>
          <t>Total Debt (Short-Term + Long-Term Debt) ($M)</t>
        </is>
      </c>
      <c r="B12" s="9" t="n">
        <v>0</v>
      </c>
    </row>
    <row r="13">
      <c r="A13" s="11" t="inlineStr">
        <is>
          <t>Net Debt / (Net Cash) ($M)</t>
        </is>
      </c>
      <c r="B13" s="12">
        <f>B12-B11</f>
        <v/>
      </c>
    </row>
    <row r="14">
      <c r="A14" s="8" t="inlineStr">
        <is>
          <t>Normalized Corporate Tax Rate (%)</t>
        </is>
      </c>
      <c r="B14" s="13" t="n">
        <v>0.225</v>
      </c>
    </row>
    <row r="15"/>
    <row r="16">
      <c r="A16" s="6" t="inlineStr">
        <is>
          <t>I. SCENARIO ASSUMPTION BLOCKS (BEAR / BASE / BULL)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14" t="inlineStr">
        <is>
          <t>BEAR CASE ASSUMPTIONS (Case 1 - Volume Deceleration &amp; Ocean Freight Volatility)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6" t="inlineStr">
        <is>
          <t>Assumption / Driver</t>
        </is>
      </c>
      <c r="B18" s="16" t="inlineStr"/>
      <c r="C18" s="17" t="inlineStr">
        <is>
          <t>FY2026E</t>
        </is>
      </c>
      <c r="D18" s="17" t="inlineStr">
        <is>
          <t>FY2027E</t>
        </is>
      </c>
      <c r="E18" s="17" t="inlineStr">
        <is>
          <t>FY2028E</t>
        </is>
      </c>
      <c r="F18" s="17" t="inlineStr">
        <is>
          <t>FY2029E</t>
        </is>
      </c>
      <c r="G18" s="17" t="inlineStr">
        <is>
          <t>FY2030E</t>
        </is>
      </c>
      <c r="H18" s="17" t="inlineStr">
        <is>
          <t>Terminal</t>
        </is>
      </c>
      <c r="I18" s="17" t="inlineStr">
        <is>
          <t>Rationale</t>
        </is>
      </c>
    </row>
    <row r="19">
      <c r="A19" s="8" t="inlineStr">
        <is>
          <t>Revenue Growth (%)</t>
        </is>
      </c>
      <c r="B19" s="18" t="inlineStr"/>
      <c r="C19" s="13" t="n">
        <v>0.26</v>
      </c>
      <c r="D19" s="13" t="n">
        <v>0.1</v>
      </c>
      <c r="E19" s="13" t="n">
        <v>0.07000000000000001</v>
      </c>
      <c r="F19" s="13" t="n">
        <v>0.05</v>
      </c>
      <c r="G19" s="13" t="n">
        <v>0.04</v>
      </c>
      <c r="H19" s="19" t="inlineStr">
        <is>
          <t>-</t>
        </is>
      </c>
      <c r="I19" s="20" t="inlineStr">
        <is>
          <t>Coconut water volume growth softens; private label competition intensifies</t>
        </is>
      </c>
    </row>
    <row r="20">
      <c r="A20" s="8" t="inlineStr">
        <is>
          <t>Gross Margin (%)</t>
        </is>
      </c>
      <c r="B20" s="18" t="inlineStr"/>
      <c r="C20" s="13" t="n">
        <v>0.38</v>
      </c>
      <c r="D20" s="13" t="n">
        <v>0.375</v>
      </c>
      <c r="E20" s="13" t="n">
        <v>0.37</v>
      </c>
      <c r="F20" s="13" t="n">
        <v>0.365</v>
      </c>
      <c r="G20" s="13" t="n">
        <v>0.36</v>
      </c>
      <c r="H20" s="19" t="inlineStr">
        <is>
          <t>-</t>
        </is>
      </c>
      <c r="I20" s="20" t="inlineStr">
        <is>
          <t>Ocean freight rates rebound; copacker input costs rise</t>
        </is>
      </c>
    </row>
    <row r="21">
      <c r="A21" s="8" t="inlineStr">
        <is>
          <t>EBIT Margin (%)</t>
        </is>
      </c>
      <c r="B21" s="18" t="inlineStr"/>
      <c r="C21" s="13" t="n">
        <v>0.14</v>
      </c>
      <c r="D21" s="13" t="n">
        <v>0.135</v>
      </c>
      <c r="E21" s="13" t="n">
        <v>0.13</v>
      </c>
      <c r="F21" s="13" t="n">
        <v>0.125</v>
      </c>
      <c r="G21" s="13" t="n">
        <v>0.12</v>
      </c>
      <c r="H21" s="19" t="inlineStr">
        <is>
          <t>-</t>
        </is>
      </c>
      <c r="I21" s="20" t="inlineStr">
        <is>
          <t>OpEx deleverage as marketing spend increases to defend market share</t>
        </is>
      </c>
    </row>
    <row r="22">
      <c r="A22" s="8" t="inlineStr">
        <is>
          <t>CapEx % Revenue</t>
        </is>
      </c>
      <c r="B22" s="18" t="inlineStr"/>
      <c r="C22" s="21" t="n">
        <v>0.005</v>
      </c>
      <c r="D22" s="21" t="n">
        <v>0.005</v>
      </c>
      <c r="E22" s="21" t="n">
        <v>0.0045</v>
      </c>
      <c r="F22" s="21" t="n">
        <v>0.0045</v>
      </c>
      <c r="G22" s="21" t="n">
        <v>0.004</v>
      </c>
      <c r="H22" s="21" t="n">
        <v>0.004</v>
      </c>
      <c r="I22" s="20" t="inlineStr">
        <is>
          <t>Asset-light copacking model with minimal maintenance CapEx</t>
        </is>
      </c>
    </row>
    <row r="23">
      <c r="A23" s="8" t="inlineStr">
        <is>
          <t>D&amp;A % Revenue</t>
        </is>
      </c>
      <c r="B23" s="18" t="inlineStr"/>
      <c r="C23" s="21" t="n">
        <v>0.002</v>
      </c>
      <c r="D23" s="21" t="n">
        <v>0.002</v>
      </c>
      <c r="E23" s="21" t="n">
        <v>0.002</v>
      </c>
      <c r="F23" s="21" t="n">
        <v>0.002</v>
      </c>
      <c r="G23" s="21" t="n">
        <v>0.002</v>
      </c>
      <c r="H23" s="21" t="n">
        <v>0.002</v>
      </c>
      <c r="I23" s="20" t="inlineStr">
        <is>
          <t>Low fixed asset base depreciation schedule</t>
        </is>
      </c>
    </row>
    <row r="24">
      <c r="A24" s="8" t="inlineStr">
        <is>
          <t>NWC Change % ΔRev</t>
        </is>
      </c>
      <c r="B24" s="18" t="inlineStr"/>
      <c r="C24" s="13" t="n">
        <v>0.03</v>
      </c>
      <c r="D24" s="13" t="n">
        <v>0.03</v>
      </c>
      <c r="E24" s="13" t="n">
        <v>0.03</v>
      </c>
      <c r="F24" s="13" t="n">
        <v>0.03</v>
      </c>
      <c r="G24" s="13" t="n">
        <v>0.03</v>
      </c>
      <c r="H24" s="19" t="inlineStr">
        <is>
          <t>-</t>
        </is>
      </c>
      <c r="I24" s="20" t="inlineStr">
        <is>
          <t>Working capital requirement from inventory safety stocks</t>
        </is>
      </c>
    </row>
    <row r="25">
      <c r="A25" s="8" t="inlineStr">
        <is>
          <t>Terminal Growth Rate (%)</t>
        </is>
      </c>
      <c r="B25" s="18" t="inlineStr"/>
      <c r="C25" s="22" t="inlineStr">
        <is>
          <t>-</t>
        </is>
      </c>
      <c r="D25" s="22" t="inlineStr">
        <is>
          <t>-</t>
        </is>
      </c>
      <c r="E25" s="22" t="inlineStr">
        <is>
          <t>-</t>
        </is>
      </c>
      <c r="F25" s="22" t="inlineStr">
        <is>
          <t>-</t>
        </is>
      </c>
      <c r="G25" s="22" t="inlineStr">
        <is>
          <t>-</t>
        </is>
      </c>
      <c r="H25" s="21" t="n">
        <v>0.0225</v>
      </c>
      <c r="I25" s="20" t="inlineStr">
        <is>
          <t>Conservative long-term consumer staples GDP growth (2.25%)</t>
        </is>
      </c>
    </row>
    <row r="26">
      <c r="A26" s="8" t="inlineStr">
        <is>
          <t>WACC (Discount Rate) (%)</t>
        </is>
      </c>
      <c r="B26" s="18" t="inlineStr"/>
      <c r="C26" s="22" t="inlineStr">
        <is>
          <t>-</t>
        </is>
      </c>
      <c r="D26" s="22" t="inlineStr">
        <is>
          <t>-</t>
        </is>
      </c>
      <c r="E26" s="22" t="inlineStr">
        <is>
          <t>-</t>
        </is>
      </c>
      <c r="F26" s="22" t="inlineStr">
        <is>
          <t>-</t>
        </is>
      </c>
      <c r="G26" s="22" t="inlineStr">
        <is>
          <t>-</t>
        </is>
      </c>
      <c r="H26" s="21" t="n">
        <v>0.0925</v>
      </c>
      <c r="I26" s="20" t="inlineStr">
        <is>
          <t>Higher equity risk premium &amp; supply chain volatility (9.25%)</t>
        </is>
      </c>
    </row>
    <row r="27"/>
    <row r="28">
      <c r="A28" s="14" t="inlineStr">
        <is>
          <t>BASE CASE ASSUMPTIONS (Case 2 - Consensus Guidance, International Expansion &amp; Treats Ramp)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6" t="inlineStr">
        <is>
          <t>Assumption / Driver</t>
        </is>
      </c>
      <c r="B29" s="16" t="inlineStr"/>
      <c r="C29" s="17" t="inlineStr">
        <is>
          <t>FY2026E</t>
        </is>
      </c>
      <c r="D29" s="17" t="inlineStr">
        <is>
          <t>FY2027E</t>
        </is>
      </c>
      <c r="E29" s="17" t="inlineStr">
        <is>
          <t>FY2028E</t>
        </is>
      </c>
      <c r="F29" s="17" t="inlineStr">
        <is>
          <t>FY2029E</t>
        </is>
      </c>
      <c r="G29" s="17" t="inlineStr">
        <is>
          <t>FY2030E</t>
        </is>
      </c>
      <c r="H29" s="17" t="inlineStr">
        <is>
          <t>Terminal</t>
        </is>
      </c>
      <c r="I29" s="17" t="inlineStr">
        <is>
          <t>Rationale</t>
        </is>
      </c>
    </row>
    <row r="30">
      <c r="A30" s="8" t="inlineStr">
        <is>
          <t>Revenue Growth (%)</t>
        </is>
      </c>
      <c r="B30" s="18" t="inlineStr"/>
      <c r="C30" s="13" t="n">
        <v>0.305</v>
      </c>
      <c r="D30" s="13" t="n">
        <v>0.16</v>
      </c>
      <c r="E30" s="13" t="n">
        <v>0.12</v>
      </c>
      <c r="F30" s="13" t="n">
        <v>0.09</v>
      </c>
      <c r="G30" s="13" t="n">
        <v>0.06</v>
      </c>
      <c r="H30" s="19" t="inlineStr">
        <is>
          <t>-</t>
        </is>
      </c>
      <c r="I30" s="20" t="inlineStr">
        <is>
          <t>Management raised 2026 guidance ($790M-$805M); strong UK/Europe expansion</t>
        </is>
      </c>
    </row>
    <row r="31">
      <c r="A31" s="8" t="inlineStr">
        <is>
          <t>Gross Margin (%)</t>
        </is>
      </c>
      <c r="B31" s="18" t="inlineStr"/>
      <c r="C31" s="13" t="n">
        <v>0.4</v>
      </c>
      <c r="D31" s="13" t="n">
        <v>0.405</v>
      </c>
      <c r="E31" s="13" t="n">
        <v>0.41</v>
      </c>
      <c r="F31" s="13" t="n">
        <v>0.41</v>
      </c>
      <c r="G31" s="13" t="n">
        <v>0.41</v>
      </c>
      <c r="H31" s="19" t="inlineStr">
        <is>
          <t>-</t>
        </is>
      </c>
      <c r="I31" s="20" t="inlineStr">
        <is>
          <t>Gross margin achieves management 40% target with stable ocean freight &amp; pricing</t>
        </is>
      </c>
    </row>
    <row r="32">
      <c r="A32" s="8" t="inlineStr">
        <is>
          <t>EBIT Margin (%)</t>
        </is>
      </c>
      <c r="B32" s="18" t="inlineStr"/>
      <c r="C32" s="13" t="n">
        <v>0.155</v>
      </c>
      <c r="D32" s="13" t="n">
        <v>0.16</v>
      </c>
      <c r="E32" s="13" t="n">
        <v>0.165</v>
      </c>
      <c r="F32" s="13" t="n">
        <v>0.165</v>
      </c>
      <c r="G32" s="13" t="n">
        <v>0.16</v>
      </c>
      <c r="H32" s="19" t="inlineStr">
        <is>
          <t>-</t>
        </is>
      </c>
      <c r="I32" s="20" t="inlineStr">
        <is>
          <t>Operating leverage from SG&amp;A scaling across global distribution network</t>
        </is>
      </c>
    </row>
    <row r="33">
      <c r="A33" s="8" t="inlineStr">
        <is>
          <t>CapEx % Revenue</t>
        </is>
      </c>
      <c r="B33" s="18" t="inlineStr"/>
      <c r="C33" s="21" t="n">
        <v>0.004</v>
      </c>
      <c r="D33" s="21" t="n">
        <v>0.004</v>
      </c>
      <c r="E33" s="21" t="n">
        <v>0.004</v>
      </c>
      <c r="F33" s="21" t="n">
        <v>0.004</v>
      </c>
      <c r="G33" s="21" t="n">
        <v>0.0035</v>
      </c>
      <c r="H33" s="21" t="n">
        <v>0.0035</v>
      </c>
      <c r="I33" s="20" t="inlineStr">
        <is>
          <t>Asset-light copacker model with selective manufacturing enhancements</t>
        </is>
      </c>
    </row>
    <row r="34">
      <c r="A34" s="8" t="inlineStr">
        <is>
          <t>D&amp;A % Revenue</t>
        </is>
      </c>
      <c r="B34" s="18" t="inlineStr"/>
      <c r="C34" s="21" t="n">
        <v>0.002</v>
      </c>
      <c r="D34" s="21" t="n">
        <v>0.002</v>
      </c>
      <c r="E34" s="21" t="n">
        <v>0.002</v>
      </c>
      <c r="F34" s="21" t="n">
        <v>0.002</v>
      </c>
      <c r="G34" s="21" t="n">
        <v>0.002</v>
      </c>
      <c r="H34" s="21" t="n">
        <v>0.002</v>
      </c>
      <c r="I34" s="20" t="inlineStr">
        <is>
          <t>Depreciation scales predictably with minimal capital intensity</t>
        </is>
      </c>
    </row>
    <row r="35">
      <c r="A35" s="8" t="inlineStr">
        <is>
          <t>NWC Change % ΔRev</t>
        </is>
      </c>
      <c r="B35" s="18" t="inlineStr"/>
      <c r="C35" s="13" t="n">
        <v>0.025</v>
      </c>
      <c r="D35" s="13" t="n">
        <v>0.025</v>
      </c>
      <c r="E35" s="13" t="n">
        <v>0.025</v>
      </c>
      <c r="F35" s="13" t="n">
        <v>0.025</v>
      </c>
      <c r="G35" s="13" t="n">
        <v>0.025</v>
      </c>
      <c r="H35" s="19" t="inlineStr">
        <is>
          <t>-</t>
        </is>
      </c>
      <c r="I35" s="20" t="inlineStr">
        <is>
          <t>Disciplined working capital management and strong inventory turnover</t>
        </is>
      </c>
    </row>
    <row r="36">
      <c r="A36" s="8" t="inlineStr">
        <is>
          <t>Terminal Growth Rate (%)</t>
        </is>
      </c>
      <c r="B36" s="18" t="inlineStr"/>
      <c r="C36" s="22" t="inlineStr">
        <is>
          <t>-</t>
        </is>
      </c>
      <c r="D36" s="22" t="inlineStr">
        <is>
          <t>-</t>
        </is>
      </c>
      <c r="E36" s="22" t="inlineStr">
        <is>
          <t>-</t>
        </is>
      </c>
      <c r="F36" s="22" t="inlineStr">
        <is>
          <t>-</t>
        </is>
      </c>
      <c r="G36" s="22" t="inlineStr">
        <is>
          <t>-</t>
        </is>
      </c>
      <c r="H36" s="21" t="n">
        <v>0.0275</v>
      </c>
      <c r="I36" s="20" t="inlineStr">
        <is>
          <t>Global healthy beverage category long-term growth rate (2.75%)</t>
        </is>
      </c>
    </row>
    <row r="37">
      <c r="A37" s="8" t="inlineStr">
        <is>
          <t>WACC (Discount Rate) (%)</t>
        </is>
      </c>
      <c r="B37" s="18" t="inlineStr"/>
      <c r="C37" s="22" t="inlineStr">
        <is>
          <t>-</t>
        </is>
      </c>
      <c r="D37" s="22" t="inlineStr">
        <is>
          <t>-</t>
        </is>
      </c>
      <c r="E37" s="22" t="inlineStr">
        <is>
          <t>-</t>
        </is>
      </c>
      <c r="F37" s="22" t="inlineStr">
        <is>
          <t>-</t>
        </is>
      </c>
      <c r="G37" s="22" t="inlineStr">
        <is>
          <t>-</t>
        </is>
      </c>
      <c r="H37" s="21" t="n">
        <v>0.08749999999999999</v>
      </c>
      <c r="I37" s="20" t="inlineStr">
        <is>
          <t>Normalized CAPM discount rate reflecting net cash balance (8.75%)</t>
        </is>
      </c>
    </row>
    <row r="38"/>
    <row r="39">
      <c r="A39" s="14" t="inlineStr">
        <is>
          <t>BULL CASE ASSUMPTIONS (Case 3 - Global Category Leadership, Copra Acquisition &amp; Premium Mix)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6" t="inlineStr">
        <is>
          <t>Assumption / Driver</t>
        </is>
      </c>
      <c r="B40" s="16" t="inlineStr"/>
      <c r="C40" s="17" t="inlineStr">
        <is>
          <t>FY2026E</t>
        </is>
      </c>
      <c r="D40" s="17" t="inlineStr">
        <is>
          <t>FY2027E</t>
        </is>
      </c>
      <c r="E40" s="17" t="inlineStr">
        <is>
          <t>FY2028E</t>
        </is>
      </c>
      <c r="F40" s="17" t="inlineStr">
        <is>
          <t>FY2029E</t>
        </is>
      </c>
      <c r="G40" s="17" t="inlineStr">
        <is>
          <t>FY2030E</t>
        </is>
      </c>
      <c r="H40" s="17" t="inlineStr">
        <is>
          <t>Terminal</t>
        </is>
      </c>
      <c r="I40" s="17" t="inlineStr">
        <is>
          <t>Rationale</t>
        </is>
      </c>
    </row>
    <row r="41">
      <c r="A41" s="8" t="inlineStr">
        <is>
          <t>Revenue Growth (%)</t>
        </is>
      </c>
      <c r="B41" s="18" t="inlineStr"/>
      <c r="C41" s="13" t="n">
        <v>0.33</v>
      </c>
      <c r="D41" s="13" t="n">
        <v>0.2</v>
      </c>
      <c r="E41" s="13" t="n">
        <v>0.15</v>
      </c>
      <c r="F41" s="13" t="n">
        <v>0.11</v>
      </c>
      <c r="G41" s="13" t="n">
        <v>0.08</v>
      </c>
      <c r="H41" s="19" t="inlineStr">
        <is>
          <t>-</t>
        </is>
      </c>
      <c r="I41" s="20" t="inlineStr">
        <is>
          <t>Rapid global adoption, Treats / barista line acceleration &amp; Copra synergies</t>
        </is>
      </c>
    </row>
    <row r="42">
      <c r="A42" s="8" t="inlineStr">
        <is>
          <t>Gross Margin (%)</t>
        </is>
      </c>
      <c r="B42" s="18" t="inlineStr"/>
      <c r="C42" s="13" t="n">
        <v>0.41</v>
      </c>
      <c r="D42" s="13" t="n">
        <v>0.42</v>
      </c>
      <c r="E42" s="13" t="n">
        <v>0.425</v>
      </c>
      <c r="F42" s="13" t="n">
        <v>0.43</v>
      </c>
      <c r="G42" s="13" t="n">
        <v>0.43</v>
      </c>
      <c r="H42" s="19" t="inlineStr">
        <is>
          <t>-</t>
        </is>
      </c>
      <c r="I42" s="20" t="inlineStr">
        <is>
          <t>Favorable mix shift toward high-margin branded &amp; innovation products</t>
        </is>
      </c>
    </row>
    <row r="43">
      <c r="A43" s="8" t="inlineStr">
        <is>
          <t>EBIT Margin (%)</t>
        </is>
      </c>
      <c r="B43" s="18" t="inlineStr"/>
      <c r="C43" s="13" t="n">
        <v>0.165</v>
      </c>
      <c r="D43" s="13" t="n">
        <v>0.175</v>
      </c>
      <c r="E43" s="13" t="n">
        <v>0.18</v>
      </c>
      <c r="F43" s="13" t="n">
        <v>0.185</v>
      </c>
      <c r="G43" s="13" t="n">
        <v>0.18</v>
      </c>
      <c r="H43" s="19" t="inlineStr">
        <is>
          <t>-</t>
        </is>
      </c>
      <c r="I43" s="20" t="inlineStr">
        <is>
          <t>Significant OpEx leverage as revenue scales past $1.2B-$1.3B</t>
        </is>
      </c>
    </row>
    <row r="44">
      <c r="A44" s="8" t="inlineStr">
        <is>
          <t>CapEx % Revenue</t>
        </is>
      </c>
      <c r="B44" s="18" t="inlineStr"/>
      <c r="C44" s="21" t="n">
        <v>0.0035</v>
      </c>
      <c r="D44" s="21" t="n">
        <v>0.0035</v>
      </c>
      <c r="E44" s="21" t="n">
        <v>0.0035</v>
      </c>
      <c r="F44" s="21" t="n">
        <v>0.003</v>
      </c>
      <c r="G44" s="21" t="n">
        <v>0.003</v>
      </c>
      <c r="H44" s="21" t="n">
        <v>0.003</v>
      </c>
      <c r="I44" s="20" t="inlineStr">
        <is>
          <t>Maximized capital efficiency across supply chain partners</t>
        </is>
      </c>
    </row>
    <row r="45">
      <c r="A45" s="8" t="inlineStr">
        <is>
          <t>D&amp;A % Revenue</t>
        </is>
      </c>
      <c r="B45" s="18" t="inlineStr"/>
      <c r="C45" s="21" t="n">
        <v>0.002</v>
      </c>
      <c r="D45" s="21" t="n">
        <v>0.002</v>
      </c>
      <c r="E45" s="21" t="n">
        <v>0.002</v>
      </c>
      <c r="F45" s="21" t="n">
        <v>0.002</v>
      </c>
      <c r="G45" s="21" t="n">
        <v>0.002</v>
      </c>
      <c r="H45" s="21" t="n">
        <v>0.002</v>
      </c>
      <c r="I45" s="20" t="inlineStr">
        <is>
          <t>Steady amortization profile</t>
        </is>
      </c>
    </row>
    <row r="46">
      <c r="A46" s="8" t="inlineStr">
        <is>
          <t>NWC Change % ΔRev</t>
        </is>
      </c>
      <c r="B46" s="18" t="inlineStr"/>
      <c r="C46" s="13" t="n">
        <v>0.02</v>
      </c>
      <c r="D46" s="13" t="n">
        <v>0.02</v>
      </c>
      <c r="E46" s="13" t="n">
        <v>0.02</v>
      </c>
      <c r="F46" s="13" t="n">
        <v>0.02</v>
      </c>
      <c r="G46" s="13" t="n">
        <v>0.02</v>
      </c>
      <c r="H46" s="19" t="inlineStr">
        <is>
          <t>-</t>
        </is>
      </c>
      <c r="I46" s="20" t="inlineStr">
        <is>
          <t>Enhanced working capital cycle with high inventory turn</t>
        </is>
      </c>
    </row>
    <row r="47">
      <c r="A47" s="8" t="inlineStr">
        <is>
          <t>Terminal Growth Rate (%)</t>
        </is>
      </c>
      <c r="B47" s="18" t="inlineStr"/>
      <c r="C47" s="22" t="inlineStr">
        <is>
          <t>-</t>
        </is>
      </c>
      <c r="D47" s="22" t="inlineStr">
        <is>
          <t>-</t>
        </is>
      </c>
      <c r="E47" s="22" t="inlineStr">
        <is>
          <t>-</t>
        </is>
      </c>
      <c r="F47" s="22" t="inlineStr">
        <is>
          <t>-</t>
        </is>
      </c>
      <c r="G47" s="22" t="inlineStr">
        <is>
          <t>-</t>
        </is>
      </c>
      <c r="H47" s="21" t="n">
        <v>0.0325</v>
      </c>
      <c r="I47" s="20" t="inlineStr">
        <is>
          <t>Secular healthy beverage category leadership (3.25%)</t>
        </is>
      </c>
    </row>
    <row r="48">
      <c r="A48" s="8" t="inlineStr">
        <is>
          <t>WACC (Discount Rate) (%)</t>
        </is>
      </c>
      <c r="B48" s="18" t="inlineStr"/>
      <c r="C48" s="22" t="inlineStr">
        <is>
          <t>-</t>
        </is>
      </c>
      <c r="D48" s="22" t="inlineStr">
        <is>
          <t>-</t>
        </is>
      </c>
      <c r="E48" s="22" t="inlineStr">
        <is>
          <t>-</t>
        </is>
      </c>
      <c r="F48" s="22" t="inlineStr">
        <is>
          <t>-</t>
        </is>
      </c>
      <c r="G48" s="22" t="inlineStr">
        <is>
          <t>-</t>
        </is>
      </c>
      <c r="H48" s="21" t="n">
        <v>0.0825</v>
      </c>
      <c r="I48" s="20" t="inlineStr">
        <is>
          <t>Lower risk premium reflecting dominant market positioning (8.25%)</t>
        </is>
      </c>
    </row>
    <row r="49"/>
    <row r="50">
      <c r="A50" s="6" t="inlineStr">
        <is>
          <t>ACTIVE MODEL CONSOLIDATION SCHEDULE (DYNAMIC CASE SELECTION)</t>
        </is>
      </c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16" t="inlineStr">
        <is>
          <t>Active Driver / Assumption</t>
        </is>
      </c>
      <c r="B51" s="16" t="inlineStr">
        <is>
          <t>Case Ref</t>
        </is>
      </c>
      <c r="C51" s="17" t="inlineStr">
        <is>
          <t>FY2026E</t>
        </is>
      </c>
      <c r="D51" s="17" t="inlineStr">
        <is>
          <t>FY2027E</t>
        </is>
      </c>
      <c r="E51" s="17" t="inlineStr">
        <is>
          <t>FY2028E</t>
        </is>
      </c>
      <c r="F51" s="17" t="inlineStr">
        <is>
          <t>FY2029E</t>
        </is>
      </c>
      <c r="G51" s="17" t="inlineStr">
        <is>
          <t>FY2030E</t>
        </is>
      </c>
      <c r="H51" s="17" t="inlineStr">
        <is>
          <t>Terminal</t>
        </is>
      </c>
      <c r="I51" s="17" t="inlineStr">
        <is>
          <t>Active Dynamic Formula Reference</t>
        </is>
      </c>
    </row>
    <row r="52">
      <c r="A52" s="11" t="inlineStr">
        <is>
          <t>Active Revenue Growth (%)</t>
        </is>
      </c>
      <c r="B52" s="23">
        <f>B4</f>
        <v/>
      </c>
      <c r="C52" s="24">
        <f>CHOOSE($B$4, C19, C30, C41)</f>
        <v/>
      </c>
      <c r="D52" s="24">
        <f>CHOOSE($B$4, D19, D30, D41)</f>
        <v/>
      </c>
      <c r="E52" s="24">
        <f>CHOOSE($B$4, E19, E30, E41)</f>
        <v/>
      </c>
      <c r="F52" s="24">
        <f>CHOOSE($B$4, F19, F30, F41)</f>
        <v/>
      </c>
      <c r="G52" s="24">
        <f>CHOOSE($B$4, G19, G30, G41)</f>
        <v/>
      </c>
      <c r="H52" s="25" t="inlineStr">
        <is>
          <t>-</t>
        </is>
      </c>
      <c r="I52" s="20" t="inlineStr">
        <is>
          <t>Dynamic revenue growth path based on active case selection</t>
        </is>
      </c>
    </row>
    <row r="53">
      <c r="A53" s="11" t="inlineStr">
        <is>
          <t>Active Gross Margin (%)</t>
        </is>
      </c>
      <c r="B53" s="23">
        <f>B4</f>
        <v/>
      </c>
      <c r="C53" s="24">
        <f>CHOOSE($B$4, C20, C31, C42)</f>
        <v/>
      </c>
      <c r="D53" s="24">
        <f>CHOOSE($B$4, D20, D31, D42)</f>
        <v/>
      </c>
      <c r="E53" s="24">
        <f>CHOOSE($B$4, E20, E31, E42)</f>
        <v/>
      </c>
      <c r="F53" s="24">
        <f>CHOOSE($B$4, F20, F31, F42)</f>
        <v/>
      </c>
      <c r="G53" s="24">
        <f>CHOOSE($B$4, G20, G31, G42)</f>
        <v/>
      </c>
      <c r="H53" s="25" t="inlineStr">
        <is>
          <t>-</t>
        </is>
      </c>
      <c r="I53" s="20" t="inlineStr">
        <is>
          <t>Dynamic gross profitability profile</t>
        </is>
      </c>
    </row>
    <row r="54">
      <c r="A54" s="11" t="inlineStr">
        <is>
          <t>Active EBIT Margin (%)</t>
        </is>
      </c>
      <c r="B54" s="23">
        <f>B4</f>
        <v/>
      </c>
      <c r="C54" s="24">
        <f>CHOOSE($B$4, C21, C32, C43)</f>
        <v/>
      </c>
      <c r="D54" s="24">
        <f>CHOOSE($B$4, D21, D32, D43)</f>
        <v/>
      </c>
      <c r="E54" s="24">
        <f>CHOOSE($B$4, E21, E32, E43)</f>
        <v/>
      </c>
      <c r="F54" s="24">
        <f>CHOOSE($B$4, F21, F32, F43)</f>
        <v/>
      </c>
      <c r="G54" s="24">
        <f>CHOOSE($B$4, G21, G32, G43)</f>
        <v/>
      </c>
      <c r="H54" s="25" t="inlineStr">
        <is>
          <t>-</t>
        </is>
      </c>
      <c r="I54" s="20" t="inlineStr">
        <is>
          <t>Dynamic operating margin profile</t>
        </is>
      </c>
    </row>
    <row r="55">
      <c r="A55" s="11" t="inlineStr">
        <is>
          <t>Active CapEx % Revenue</t>
        </is>
      </c>
      <c r="B55" s="23">
        <f>B4</f>
        <v/>
      </c>
      <c r="C55" s="26">
        <f>CHOOSE($B$4, C22, C33, C44)</f>
        <v/>
      </c>
      <c r="D55" s="26">
        <f>CHOOSE($B$4, D22, D33, D44)</f>
        <v/>
      </c>
      <c r="E55" s="26">
        <f>CHOOSE($B$4, E22, E33, E44)</f>
        <v/>
      </c>
      <c r="F55" s="26">
        <f>CHOOSE($B$4, F22, F33, F44)</f>
        <v/>
      </c>
      <c r="G55" s="26">
        <f>CHOOSE($B$4, G22, G33, G44)</f>
        <v/>
      </c>
      <c r="H55" s="26">
        <f>CHOOSE($B$4, H22, H33, H44)</f>
        <v/>
      </c>
      <c r="I55" s="20" t="inlineStr">
        <is>
          <t>Dynamic capital expenditure reinvestment intensity</t>
        </is>
      </c>
    </row>
    <row r="56">
      <c r="A56" s="11" t="inlineStr">
        <is>
          <t>Active D&amp;A % Revenue</t>
        </is>
      </c>
      <c r="B56" s="23">
        <f>B4</f>
        <v/>
      </c>
      <c r="C56" s="26">
        <f>CHOOSE($B$4, C23, C34, C45)</f>
        <v/>
      </c>
      <c r="D56" s="26">
        <f>CHOOSE($B$4, D23, D34, D45)</f>
        <v/>
      </c>
      <c r="E56" s="26">
        <f>CHOOSE($B$4, E23, E34, E45)</f>
        <v/>
      </c>
      <c r="F56" s="26">
        <f>CHOOSE($B$4, F23, F34, F45)</f>
        <v/>
      </c>
      <c r="G56" s="26">
        <f>CHOOSE($B$4, G23, G34, G45)</f>
        <v/>
      </c>
      <c r="H56" s="26">
        <f>CHOOSE($B$4, H23, H34, H45)</f>
        <v/>
      </c>
      <c r="I56" s="20" t="inlineStr">
        <is>
          <t>Dynamic depreciation &amp; amortization rate</t>
        </is>
      </c>
    </row>
    <row r="57">
      <c r="A57" s="11" t="inlineStr">
        <is>
          <t>Active NWC Change % ΔRev</t>
        </is>
      </c>
      <c r="B57" s="23">
        <f>B4</f>
        <v/>
      </c>
      <c r="C57" s="24">
        <f>CHOOSE($B$4, C24, C35, C46)</f>
        <v/>
      </c>
      <c r="D57" s="24">
        <f>CHOOSE($B$4, D24, D35, D46)</f>
        <v/>
      </c>
      <c r="E57" s="24">
        <f>CHOOSE($B$4, E24, E35, E46)</f>
        <v/>
      </c>
      <c r="F57" s="24">
        <f>CHOOSE($B$4, F24, F35, F46)</f>
        <v/>
      </c>
      <c r="G57" s="24">
        <f>CHOOSE($B$4, G24, G35, G46)</f>
        <v/>
      </c>
      <c r="H57" s="25" t="inlineStr">
        <is>
          <t>-</t>
        </is>
      </c>
      <c r="I57" s="20" t="inlineStr">
        <is>
          <t>Dynamic net working capital requirement on incremental revenue</t>
        </is>
      </c>
    </row>
    <row r="58">
      <c r="A58" s="11" t="inlineStr">
        <is>
          <t>Active Terminal Growth Rate (%)</t>
        </is>
      </c>
      <c r="B58" s="23">
        <f>B4</f>
        <v/>
      </c>
      <c r="C58" s="25" t="inlineStr">
        <is>
          <t>-</t>
        </is>
      </c>
      <c r="D58" s="25" t="inlineStr">
        <is>
          <t>-</t>
        </is>
      </c>
      <c r="E58" s="25" t="inlineStr">
        <is>
          <t>-</t>
        </is>
      </c>
      <c r="F58" s="25" t="inlineStr">
        <is>
          <t>-</t>
        </is>
      </c>
      <c r="G58" s="25" t="inlineStr">
        <is>
          <t>-</t>
        </is>
      </c>
      <c r="H58" s="27">
        <f>CHOOSE($B$4, H25, H36, H47)</f>
        <v/>
      </c>
      <c r="I58" s="20" t="inlineStr">
        <is>
          <t>Perpetual terminal growth rate for DCF terminal value calculation</t>
        </is>
      </c>
    </row>
    <row r="59">
      <c r="A59" s="11" t="inlineStr">
        <is>
          <t>Active WACC (Discount Rate) (%)</t>
        </is>
      </c>
      <c r="B59" s="23">
        <f>B4</f>
        <v/>
      </c>
      <c r="C59" s="25" t="inlineStr">
        <is>
          <t>-</t>
        </is>
      </c>
      <c r="D59" s="25" t="inlineStr">
        <is>
          <t>-</t>
        </is>
      </c>
      <c r="E59" s="25" t="inlineStr">
        <is>
          <t>-</t>
        </is>
      </c>
      <c r="F59" s="25" t="inlineStr">
        <is>
          <t>-</t>
        </is>
      </c>
      <c r="G59" s="25" t="inlineStr">
        <is>
          <t>-</t>
        </is>
      </c>
      <c r="H59" s="27">
        <f>CHOOSE($B$4, H26, H37, H48)</f>
        <v/>
      </c>
      <c r="I59" s="20" t="inlineStr">
        <is>
          <t>Cost of capital discount rate applied to projected cash flows</t>
        </is>
      </c>
    </row>
    <row r="60"/>
    <row r="61">
      <c r="A61" s="6" t="inlineStr">
        <is>
          <t>II. HISTORICAL &amp; PROJECTED FINANCIAL PERFORMANCE ($M)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16" t="inlineStr">
        <is>
          <t>Income Statement ($M)</t>
        </is>
      </c>
      <c r="B62" s="17" t="inlineStr">
        <is>
          <t>FY2023A</t>
        </is>
      </c>
      <c r="C62" s="17" t="inlineStr">
        <is>
          <t>FY2024A</t>
        </is>
      </c>
      <c r="D62" s="17" t="inlineStr">
        <is>
          <t>FY2025A</t>
        </is>
      </c>
      <c r="E62" s="17" t="inlineStr">
        <is>
          <t>FY2026E</t>
        </is>
      </c>
      <c r="F62" s="17" t="inlineStr">
        <is>
          <t>FY2027E</t>
        </is>
      </c>
      <c r="G62" s="17" t="inlineStr">
        <is>
          <t>FY2028E</t>
        </is>
      </c>
      <c r="H62" s="17" t="inlineStr">
        <is>
          <t>FY2029E</t>
        </is>
      </c>
      <c r="I62" s="17" t="inlineStr">
        <is>
          <t>FY2030E</t>
        </is>
      </c>
    </row>
    <row r="63">
      <c r="A63" s="11" t="inlineStr">
        <is>
          <t>Total Net Sales (Revenue) ($M)</t>
        </is>
      </c>
      <c r="B63" s="9" t="n">
        <v>493.61</v>
      </c>
      <c r="C63" s="9" t="n">
        <v>516.01</v>
      </c>
      <c r="D63" s="9" t="n">
        <v>609.8</v>
      </c>
      <c r="E63" s="28">
        <f>D63*(1+C52)</f>
        <v/>
      </c>
      <c r="F63" s="28">
        <f>E63*(1+D52)</f>
        <v/>
      </c>
      <c r="G63" s="28">
        <f>F63*(1+E52)</f>
        <v/>
      </c>
      <c r="H63" s="28">
        <f>G63*(1+F52)</f>
        <v/>
      </c>
      <c r="I63" s="28">
        <f>H63*(1+G52)</f>
        <v/>
      </c>
    </row>
    <row r="64">
      <c r="A64" s="20" t="inlineStr">
        <is>
          <t xml:space="preserve">  YoY Revenue Growth (%)</t>
        </is>
      </c>
      <c r="B64" s="13" t="n">
        <v>0.1538</v>
      </c>
      <c r="C64" s="29">
        <f>C63/B63-1</f>
        <v/>
      </c>
      <c r="D64" s="29">
        <f>D63/C63-1</f>
        <v/>
      </c>
      <c r="E64" s="29">
        <f>E63/D63-1</f>
        <v/>
      </c>
      <c r="F64" s="29">
        <f>F63/E63-1</f>
        <v/>
      </c>
      <c r="G64" s="29">
        <f>G63/F63-1</f>
        <v/>
      </c>
      <c r="H64" s="29">
        <f>H63/G63-1</f>
        <v/>
      </c>
      <c r="I64" s="29">
        <f>I63/H63-1</f>
        <v/>
      </c>
    </row>
    <row r="65">
      <c r="A65" s="8" t="inlineStr">
        <is>
          <t>Cost of Goods Sold (COGS) ($M)</t>
        </is>
      </c>
      <c r="B65" s="9" t="n">
        <v>312.88</v>
      </c>
      <c r="C65" s="9" t="n">
        <v>317.23</v>
      </c>
      <c r="D65" s="9" t="n">
        <v>387.2</v>
      </c>
      <c r="E65" s="30">
        <f>E63*(1-C53)</f>
        <v/>
      </c>
      <c r="F65" s="30">
        <f>F63*(1-D53)</f>
        <v/>
      </c>
      <c r="G65" s="30">
        <f>G63*(1-E53)</f>
        <v/>
      </c>
      <c r="H65" s="30">
        <f>H63*(1-F53)</f>
        <v/>
      </c>
      <c r="I65" s="30">
        <f>I63*(1-G53)</f>
        <v/>
      </c>
    </row>
    <row r="66">
      <c r="A66" s="11" t="inlineStr">
        <is>
          <t>Gross Profit ($M)</t>
        </is>
      </c>
      <c r="B66" s="28">
        <f>B63-B65</f>
        <v/>
      </c>
      <c r="C66" s="28">
        <f>C63-C65</f>
        <v/>
      </c>
      <c r="D66" s="28">
        <f>D63-D65</f>
        <v/>
      </c>
      <c r="E66" s="28">
        <f>E63-E65</f>
        <v/>
      </c>
      <c r="F66" s="28">
        <f>F63-F65</f>
        <v/>
      </c>
      <c r="G66" s="28">
        <f>G63-G65</f>
        <v/>
      </c>
      <c r="H66" s="28">
        <f>H63-H65</f>
        <v/>
      </c>
      <c r="I66" s="28">
        <f>I63-I65</f>
        <v/>
      </c>
    </row>
    <row r="67">
      <c r="A67" s="20" t="inlineStr">
        <is>
          <t xml:space="preserve">  Gross Profit Margin (%)</t>
        </is>
      </c>
      <c r="B67" s="29">
        <f>B66/B63</f>
        <v/>
      </c>
      <c r="C67" s="29">
        <f>C66/C63</f>
        <v/>
      </c>
      <c r="D67" s="29">
        <f>D66/D63</f>
        <v/>
      </c>
      <c r="E67" s="29">
        <f>E66/E63</f>
        <v/>
      </c>
      <c r="F67" s="29">
        <f>F66/F63</f>
        <v/>
      </c>
      <c r="G67" s="29">
        <f>G66/G63</f>
        <v/>
      </c>
      <c r="H67" s="29">
        <f>H66/H63</f>
        <v/>
      </c>
      <c r="I67" s="29">
        <f>I66/I63</f>
        <v/>
      </c>
    </row>
    <row r="68">
      <c r="A68" s="8" t="inlineStr">
        <is>
          <t>Selling, General &amp; Administrative (SG&amp;A) ($M)</t>
        </is>
      </c>
      <c r="B68" s="9" t="n">
        <v>124.24</v>
      </c>
      <c r="C68" s="9" t="n">
        <v>124.96</v>
      </c>
      <c r="D68" s="9" t="n">
        <v>140.1</v>
      </c>
      <c r="E68" s="30">
        <f>E66-E70</f>
        <v/>
      </c>
      <c r="F68" s="30">
        <f>F66-F70</f>
        <v/>
      </c>
      <c r="G68" s="30">
        <f>G66-G70</f>
        <v/>
      </c>
      <c r="H68" s="30">
        <f>H66-H70</f>
        <v/>
      </c>
      <c r="I68" s="30">
        <f>I66-I70</f>
        <v/>
      </c>
    </row>
    <row r="69">
      <c r="A69" s="11" t="inlineStr">
        <is>
          <t>Total Operating Expenses (OpEx) ($M)</t>
        </is>
      </c>
      <c r="B69" s="31">
        <f>B68</f>
        <v/>
      </c>
      <c r="C69" s="31">
        <f>C68</f>
        <v/>
      </c>
      <c r="D69" s="31">
        <f>D68</f>
        <v/>
      </c>
      <c r="E69" s="31">
        <f>E68</f>
        <v/>
      </c>
      <c r="F69" s="31">
        <f>F68</f>
        <v/>
      </c>
      <c r="G69" s="31">
        <f>G68</f>
        <v/>
      </c>
      <c r="H69" s="31">
        <f>H68</f>
        <v/>
      </c>
      <c r="I69" s="31">
        <f>I68</f>
        <v/>
      </c>
    </row>
    <row r="70">
      <c r="A70" s="32" t="inlineStr">
        <is>
          <t>Operating Income (EBIT) ($M)</t>
        </is>
      </c>
      <c r="B70" s="9" t="n">
        <v>56.49</v>
      </c>
      <c r="C70" s="9" t="n">
        <v>73.81999999999999</v>
      </c>
      <c r="D70" s="9" t="n">
        <v>82.5</v>
      </c>
      <c r="E70" s="33">
        <f>E63*C54</f>
        <v/>
      </c>
      <c r="F70" s="33">
        <f>F63*D54</f>
        <v/>
      </c>
      <c r="G70" s="33">
        <f>G63*E54</f>
        <v/>
      </c>
      <c r="H70" s="33">
        <f>H63*F54</f>
        <v/>
      </c>
      <c r="I70" s="33">
        <f>I63*G54</f>
        <v/>
      </c>
    </row>
    <row r="71">
      <c r="A71" s="20" t="inlineStr">
        <is>
          <t xml:space="preserve">  EBIT Margin (%)</t>
        </is>
      </c>
      <c r="B71" s="29">
        <f>B70/B63</f>
        <v/>
      </c>
      <c r="C71" s="29">
        <f>C70/C63</f>
        <v/>
      </c>
      <c r="D71" s="29">
        <f>D70/D63</f>
        <v/>
      </c>
      <c r="E71" s="29">
        <f>E70/E63</f>
        <v/>
      </c>
      <c r="F71" s="29">
        <f>F70/F63</f>
        <v/>
      </c>
      <c r="G71" s="29">
        <f>G70/G63</f>
        <v/>
      </c>
      <c r="H71" s="29">
        <f>H70/H63</f>
        <v/>
      </c>
      <c r="I71" s="29">
        <f>I70/I63</f>
        <v/>
      </c>
    </row>
    <row r="72">
      <c r="A72" s="8" t="inlineStr">
        <is>
          <t>Normalized Income Taxes on EBIT ($M)</t>
        </is>
      </c>
      <c r="B72" s="9" t="n">
        <v>12.43</v>
      </c>
      <c r="C72" s="9" t="n">
        <v>16.61</v>
      </c>
      <c r="D72" s="9" t="n">
        <v>18.98</v>
      </c>
      <c r="E72" s="30">
        <f>E70*$B$14</f>
        <v/>
      </c>
      <c r="F72" s="30">
        <f>F70*$B$14</f>
        <v/>
      </c>
      <c r="G72" s="30">
        <f>G70*$B$14</f>
        <v/>
      </c>
      <c r="H72" s="30">
        <f>H70*$B$14</f>
        <v/>
      </c>
      <c r="I72" s="30">
        <f>I70*$B$14</f>
        <v/>
      </c>
    </row>
    <row r="73">
      <c r="A73" s="20" t="inlineStr">
        <is>
          <t xml:space="preserve">  Effective Tax Rate (%)</t>
        </is>
      </c>
      <c r="B73" s="29">
        <f>B72/B70</f>
        <v/>
      </c>
      <c r="C73" s="29">
        <f>C72/C70</f>
        <v/>
      </c>
      <c r="D73" s="29">
        <f>D72/D70</f>
        <v/>
      </c>
      <c r="E73" s="29">
        <f>E72/E70</f>
        <v/>
      </c>
      <c r="F73" s="29">
        <f>F72/F70</f>
        <v/>
      </c>
      <c r="G73" s="29">
        <f>G72/G70</f>
        <v/>
      </c>
      <c r="H73" s="29">
        <f>H72/H70</f>
        <v/>
      </c>
      <c r="I73" s="29">
        <f>I72/I70</f>
        <v/>
      </c>
    </row>
    <row r="74">
      <c r="A74" s="32" t="inlineStr">
        <is>
          <t>Net Operating Profit After Tax (NOPAT) ($M)</t>
        </is>
      </c>
      <c r="B74" s="33">
        <f>B70-B72</f>
        <v/>
      </c>
      <c r="C74" s="33">
        <f>C70-C72</f>
        <v/>
      </c>
      <c r="D74" s="33">
        <f>D70-D72</f>
        <v/>
      </c>
      <c r="E74" s="33">
        <f>E70-E72</f>
        <v/>
      </c>
      <c r="F74" s="33">
        <f>F70-F72</f>
        <v/>
      </c>
      <c r="G74" s="33">
        <f>G70-G72</f>
        <v/>
      </c>
      <c r="H74" s="33">
        <f>H70-H72</f>
        <v/>
      </c>
      <c r="I74" s="33">
        <f>I70-I72</f>
        <v/>
      </c>
    </row>
    <row r="75"/>
    <row r="76">
      <c r="A76" s="6" t="inlineStr">
        <is>
          <t>III. UNLEVERED FREE CASH FLOW (FCFF) SCHEDULE ($M)</t>
        </is>
      </c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16" t="inlineStr">
        <is>
          <t>Free Cash Flow Metric ($M)</t>
        </is>
      </c>
      <c r="B77" s="17" t="inlineStr">
        <is>
          <t>FY2023A</t>
        </is>
      </c>
      <c r="C77" s="17" t="inlineStr">
        <is>
          <t>FY2024A</t>
        </is>
      </c>
      <c r="D77" s="17" t="inlineStr">
        <is>
          <t>FY2025A</t>
        </is>
      </c>
      <c r="E77" s="17" t="inlineStr">
        <is>
          <t>FY2026E</t>
        </is>
      </c>
      <c r="F77" s="17" t="inlineStr">
        <is>
          <t>FY2027E</t>
        </is>
      </c>
      <c r="G77" s="17" t="inlineStr">
        <is>
          <t>FY2028E</t>
        </is>
      </c>
      <c r="H77" s="17" t="inlineStr">
        <is>
          <t>FY2029E</t>
        </is>
      </c>
      <c r="I77" s="17" t="inlineStr">
        <is>
          <t>FY2030E</t>
        </is>
      </c>
    </row>
    <row r="78">
      <c r="A78" s="11" t="inlineStr">
        <is>
          <t>Net Operating Profit After Tax (NOPAT) ($M)</t>
        </is>
      </c>
      <c r="B78" s="28">
        <f>B74</f>
        <v/>
      </c>
      <c r="C78" s="28">
        <f>C74</f>
        <v/>
      </c>
      <c r="D78" s="28">
        <f>D74</f>
        <v/>
      </c>
      <c r="E78" s="28">
        <f>E74</f>
        <v/>
      </c>
      <c r="F78" s="28">
        <f>F74</f>
        <v/>
      </c>
      <c r="G78" s="28">
        <f>G74</f>
        <v/>
      </c>
      <c r="H78" s="28">
        <f>H74</f>
        <v/>
      </c>
      <c r="I78" s="28">
        <f>I74</f>
        <v/>
      </c>
    </row>
    <row r="79">
      <c r="A79" s="8" t="inlineStr">
        <is>
          <t>(+) Depreciation &amp; Amortization (D&amp;A) ($M)</t>
        </is>
      </c>
      <c r="B79" s="9" t="n">
        <v>0.66</v>
      </c>
      <c r="C79" s="9" t="n">
        <v>0.75</v>
      </c>
      <c r="D79" s="9" t="n">
        <v>1</v>
      </c>
      <c r="E79" s="30">
        <f>E63*C56</f>
        <v/>
      </c>
      <c r="F79" s="30">
        <f>F63*D56</f>
        <v/>
      </c>
      <c r="G79" s="30">
        <f>G63*E56</f>
        <v/>
      </c>
      <c r="H79" s="30">
        <f>H63*F56</f>
        <v/>
      </c>
      <c r="I79" s="30">
        <f>I63*G56</f>
        <v/>
      </c>
    </row>
    <row r="80">
      <c r="A80" s="8" t="inlineStr">
        <is>
          <t>(-) Capital Expenditures (CapEx) ($M)</t>
        </is>
      </c>
      <c r="B80" s="9" t="n">
        <v>1.5</v>
      </c>
      <c r="C80" s="9" t="n">
        <v>2</v>
      </c>
      <c r="D80" s="9" t="n">
        <v>2.5</v>
      </c>
      <c r="E80" s="30">
        <f>E63*C55</f>
        <v/>
      </c>
      <c r="F80" s="30">
        <f>F63*D55</f>
        <v/>
      </c>
      <c r="G80" s="30">
        <f>G63*E55</f>
        <v/>
      </c>
      <c r="H80" s="30">
        <f>H63*F55</f>
        <v/>
      </c>
      <c r="I80" s="30">
        <f>I63*G55</f>
        <v/>
      </c>
    </row>
    <row r="81">
      <c r="A81" s="8" t="inlineStr">
        <is>
          <t>(-) Change in Net Working Capital (Δ NWC) ($M)</t>
        </is>
      </c>
      <c r="B81" s="9" t="n">
        <v>12</v>
      </c>
      <c r="C81" s="9" t="n">
        <v>10</v>
      </c>
      <c r="D81" s="9" t="n">
        <v>15</v>
      </c>
      <c r="E81" s="30">
        <f>(E63-D63)*C57</f>
        <v/>
      </c>
      <c r="F81" s="30">
        <f>(F63-E63)*D57</f>
        <v/>
      </c>
      <c r="G81" s="30">
        <f>(G63-F63)*E57</f>
        <v/>
      </c>
      <c r="H81" s="30">
        <f>(H63-G63)*F57</f>
        <v/>
      </c>
      <c r="I81" s="30">
        <f>(I63-H63)*G57</f>
        <v/>
      </c>
    </row>
    <row r="82">
      <c r="A82" s="32" t="inlineStr">
        <is>
          <t>Unlevered Free Cash Flow (FCFF) ($M)</t>
        </is>
      </c>
      <c r="B82" s="33">
        <f>B78+B79-B80-B81</f>
        <v/>
      </c>
      <c r="C82" s="33">
        <f>C78+C79-C80-C81</f>
        <v/>
      </c>
      <c r="D82" s="33">
        <f>D78+D79-D80-D81</f>
        <v/>
      </c>
      <c r="E82" s="33">
        <f>E78+E79-E80-E81</f>
        <v/>
      </c>
      <c r="F82" s="33">
        <f>F78+F79-F80-F81</f>
        <v/>
      </c>
      <c r="G82" s="33">
        <f>G78+G79-G80-G81</f>
        <v/>
      </c>
      <c r="H82" s="33">
        <f>H78+H79-H80-H81</f>
        <v/>
      </c>
      <c r="I82" s="33">
        <f>I78+I79-I80-I81</f>
        <v/>
      </c>
    </row>
    <row r="83">
      <c r="A83" s="20" t="inlineStr">
        <is>
          <t xml:space="preserve">  FCFF Conversion Rate (% of EBIT)</t>
        </is>
      </c>
      <c r="B83" s="29">
        <f>B82/B70</f>
        <v/>
      </c>
      <c r="C83" s="29">
        <f>C82/C70</f>
        <v/>
      </c>
      <c r="D83" s="29">
        <f>D82/D70</f>
        <v/>
      </c>
      <c r="E83" s="29">
        <f>E82/E70</f>
        <v/>
      </c>
      <c r="F83" s="29">
        <f>F82/F70</f>
        <v/>
      </c>
      <c r="G83" s="29">
        <f>G82/G70</f>
        <v/>
      </c>
      <c r="H83" s="29">
        <f>H82/H70</f>
        <v/>
      </c>
      <c r="I83" s="29">
        <f>I82/I70</f>
        <v/>
      </c>
    </row>
    <row r="84">
      <c r="A84" s="20" t="inlineStr">
        <is>
          <t xml:space="preserve">  FCFF YoY Growth (%)</t>
        </is>
      </c>
      <c r="B84" s="25" t="inlineStr">
        <is>
          <t>-</t>
        </is>
      </c>
      <c r="C84" s="29">
        <f>C82/B82-1</f>
        <v/>
      </c>
      <c r="D84" s="29">
        <f>D82/C82-1</f>
        <v/>
      </c>
      <c r="E84" s="29">
        <f>E82/D82-1</f>
        <v/>
      </c>
      <c r="F84" s="29">
        <f>F82/E82-1</f>
        <v/>
      </c>
      <c r="G84" s="29">
        <f>G82/F82-1</f>
        <v/>
      </c>
      <c r="H84" s="29">
        <f>H82/G82-1</f>
        <v/>
      </c>
      <c r="I84" s="29">
        <f>I82/H82-1</f>
        <v/>
      </c>
    </row>
    <row r="85"/>
    <row r="86">
      <c r="A86" s="6" t="inlineStr">
        <is>
          <t>IV. DISCOUNTED CASH FLOW VALUATION &amp; EQUITY BRIDGE ($M)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16" t="inlineStr">
        <is>
          <t>Valuation Projection Schedule</t>
        </is>
      </c>
      <c r="B87" s="16" t="inlineStr"/>
      <c r="C87" s="16" t="inlineStr"/>
      <c r="D87" s="16" t="inlineStr"/>
      <c r="E87" s="17" t="inlineStr">
        <is>
          <t>FY2026E</t>
        </is>
      </c>
      <c r="F87" s="17" t="inlineStr">
        <is>
          <t>FY2027E</t>
        </is>
      </c>
      <c r="G87" s="17" t="inlineStr">
        <is>
          <t>FY2028E</t>
        </is>
      </c>
      <c r="H87" s="17" t="inlineStr">
        <is>
          <t>FY2029E</t>
        </is>
      </c>
      <c r="I87" s="17" t="inlineStr">
        <is>
          <t>FY2030E</t>
        </is>
      </c>
    </row>
    <row r="88">
      <c r="A88" s="8" t="inlineStr">
        <is>
          <t>Mid-Year Discount Period (t)</t>
        </is>
      </c>
      <c r="B88" s="18" t="inlineStr"/>
      <c r="C88" s="18" t="inlineStr"/>
      <c r="D88" s="18" t="inlineStr"/>
      <c r="E88" s="34" t="n">
        <v>0.5</v>
      </c>
      <c r="F88" s="34" t="n">
        <v>1.5</v>
      </c>
      <c r="G88" s="34" t="n">
        <v>2.5</v>
      </c>
      <c r="H88" s="34" t="n">
        <v>3.5</v>
      </c>
      <c r="I88" s="34" t="n">
        <v>4.5</v>
      </c>
    </row>
    <row r="89">
      <c r="A89" s="8" t="inlineStr">
        <is>
          <t>Discount Factor (1 / (1 + WACC)^t)</t>
        </is>
      </c>
      <c r="B89" s="18" t="inlineStr"/>
      <c r="C89" s="18" t="inlineStr"/>
      <c r="D89" s="18" t="inlineStr"/>
      <c r="E89" s="35">
        <f>1/(1+$H$59)^E88</f>
        <v/>
      </c>
      <c r="F89" s="35">
        <f>1/(1+$H$59)^F88</f>
        <v/>
      </c>
      <c r="G89" s="35">
        <f>1/(1+$H$59)^G88</f>
        <v/>
      </c>
      <c r="H89" s="35">
        <f>1/(1+$H$59)^H88</f>
        <v/>
      </c>
      <c r="I89" s="35">
        <f>1/(1+$H$59)^I88</f>
        <v/>
      </c>
    </row>
    <row r="90">
      <c r="A90" s="11" t="inlineStr">
        <is>
          <t>Projected Unlevered FCFF ($M)</t>
        </is>
      </c>
      <c r="B90" s="18" t="inlineStr"/>
      <c r="C90" s="18" t="inlineStr"/>
      <c r="D90" s="18" t="inlineStr"/>
      <c r="E90" s="31">
        <f>E82</f>
        <v/>
      </c>
      <c r="F90" s="31">
        <f>F82</f>
        <v/>
      </c>
      <c r="G90" s="31">
        <f>G82</f>
        <v/>
      </c>
      <c r="H90" s="31">
        <f>H82</f>
        <v/>
      </c>
      <c r="I90" s="31">
        <f>I82</f>
        <v/>
      </c>
    </row>
    <row r="91">
      <c r="A91" s="32" t="inlineStr">
        <is>
          <t>Present Value of FCFF ($M)</t>
        </is>
      </c>
      <c r="B91" s="18" t="inlineStr"/>
      <c r="C91" s="18" t="inlineStr"/>
      <c r="D91" s="18" t="inlineStr"/>
      <c r="E91" s="33">
        <f>E89*E90</f>
        <v/>
      </c>
      <c r="F91" s="33">
        <f>F89*F90</f>
        <v/>
      </c>
      <c r="G91" s="33">
        <f>G89*G90</f>
        <v/>
      </c>
      <c r="H91" s="33">
        <f>H89*H90</f>
        <v/>
      </c>
      <c r="I91" s="33">
        <f>I89*I90</f>
        <v/>
      </c>
    </row>
    <row r="92"/>
    <row r="93">
      <c r="A93" s="14" t="inlineStr">
        <is>
          <t>VALUATION SUMMARY &amp; EQUITY BRIDGE ($M)</t>
        </is>
      </c>
      <c r="B93" s="15" t="n"/>
      <c r="C93" s="15" t="n"/>
      <c r="D93" s="15" t="n"/>
      <c r="E93" s="15" t="n"/>
    </row>
    <row r="94">
      <c r="A94" s="11" t="inlineStr">
        <is>
          <t>Cumulative PV of Explicit Forecast FCFFs (FY26E-FY30E) ($M)</t>
        </is>
      </c>
      <c r="B94" s="31">
        <f>SUM(E91:I91)</f>
        <v/>
      </c>
      <c r="C94" s="20" t="inlineStr">
        <is>
          <t>Sum of discounted cash flows over explicit 5-year forecast</t>
        </is>
      </c>
      <c r="D94" s="18" t="n"/>
      <c r="E94" s="18" t="n"/>
    </row>
    <row r="95">
      <c r="A95" s="8" t="inlineStr">
        <is>
          <t>Normalized Terminal Year FCFF (FY2031E) ($M)</t>
        </is>
      </c>
      <c r="B95" s="30">
        <f>I90*(1+H58)</f>
        <v/>
      </c>
      <c r="C95" s="20" t="inlineStr">
        <is>
          <t>Final year explicit FCFF grown at perpetual terminal growth rate</t>
        </is>
      </c>
      <c r="D95" s="18" t="n"/>
      <c r="E95" s="18" t="n"/>
    </row>
    <row r="96">
      <c r="A96" s="11" t="inlineStr">
        <is>
          <t>Implied Terminal Value at FY2030E ($M)</t>
        </is>
      </c>
      <c r="B96" s="31">
        <f>B95/(H59-H58)</f>
        <v/>
      </c>
      <c r="C96" s="20" t="inlineStr">
        <is>
          <t>Gordon Growth Perpetuity Model = FCFF_2031E / (WACC - g)</t>
        </is>
      </c>
      <c r="D96" s="18" t="n"/>
      <c r="E96" s="18" t="n"/>
    </row>
    <row r="97">
      <c r="A97" s="11" t="inlineStr">
        <is>
          <t>Present Value of Terminal Value ($M)</t>
        </is>
      </c>
      <c r="B97" s="31">
        <f>B96/(1+H59)^I88</f>
        <v/>
      </c>
      <c r="C97" s="20" t="inlineStr">
        <is>
          <t>Discounted back to valuation date using 4.5-year mid-year factor</t>
        </is>
      </c>
      <c r="D97" s="18" t="n"/>
      <c r="E97" s="18" t="n"/>
    </row>
    <row r="98">
      <c r="A98" s="20" t="inlineStr">
        <is>
          <t>Terminal Value % of Enterprise Value</t>
        </is>
      </c>
      <c r="B98" s="29">
        <f>B97/B99</f>
        <v/>
      </c>
      <c r="C98" s="20" t="inlineStr">
        <is>
          <t>DCF terminal value proportion of Enterprise Value</t>
        </is>
      </c>
      <c r="D98" s="18" t="n"/>
      <c r="E98" s="18" t="n"/>
    </row>
    <row r="99">
      <c r="A99" s="36" t="inlineStr">
        <is>
          <t>IMPLIED ENTERPRISE VALUE ($M)</t>
        </is>
      </c>
      <c r="B99" s="33">
        <f>B94+B97</f>
        <v/>
      </c>
      <c r="C99" s="20" t="inlineStr">
        <is>
          <t>Total Enterprise Value = PV of Explicit FCFFs + PV of Terminal Value</t>
        </is>
      </c>
      <c r="D99" s="18" t="n"/>
      <c r="E99" s="18" t="n"/>
    </row>
    <row r="100">
      <c r="A100" s="8" t="inlineStr">
        <is>
          <t>(-) Total Carrying Debt ($M)</t>
        </is>
      </c>
      <c r="B100" s="30">
        <f>B12</f>
        <v/>
      </c>
      <c r="C100" s="20" t="inlineStr">
        <is>
          <t>Carrying value of outstanding short &amp; long-term debt ($0.00M)</t>
        </is>
      </c>
      <c r="D100" s="18" t="n"/>
      <c r="E100" s="18" t="n"/>
    </row>
    <row r="101">
      <c r="A101" s="8" t="inlineStr">
        <is>
          <t>(+) Cash, Cash Equivalents &amp; ST Investments ($M)</t>
        </is>
      </c>
      <c r="B101" s="30">
        <f>B11</f>
        <v/>
      </c>
      <c r="C101" s="20" t="inlineStr">
        <is>
          <t>Total liquid cash and short-term investments ($279.00M)</t>
        </is>
      </c>
      <c r="D101" s="18" t="n"/>
      <c r="E101" s="18" t="n"/>
    </row>
    <row r="102">
      <c r="A102" s="11" t="inlineStr">
        <is>
          <t>Net Debt / (Net Cash) ($M)</t>
        </is>
      </c>
      <c r="B102" s="31">
        <f>B100-B101</f>
        <v/>
      </c>
      <c r="C102" s="20" t="inlineStr">
        <is>
          <t>Net debt subtracted from Enterprise Value (adds cash when negative)</t>
        </is>
      </c>
      <c r="D102" s="18" t="n"/>
      <c r="E102" s="18" t="n"/>
    </row>
    <row r="103">
      <c r="A103" s="36" t="inlineStr">
        <is>
          <t>IMPLIED EQUITY VALUE ($M)</t>
        </is>
      </c>
      <c r="B103" s="33">
        <f>B99-B102</f>
        <v/>
      </c>
      <c r="C103" s="20" t="inlineStr">
        <is>
          <t>Equity Value = Enterprise Value - Net Debt</t>
        </is>
      </c>
      <c r="D103" s="18" t="n"/>
      <c r="E103" s="18" t="n"/>
    </row>
    <row r="104">
      <c r="A104" s="8" t="inlineStr">
        <is>
          <t>Diluted Shares Outstanding (M)</t>
        </is>
      </c>
      <c r="B104" s="37">
        <f>B9</f>
        <v/>
      </c>
      <c r="C104" s="20" t="inlineStr">
        <is>
          <t>Diluted shares outstanding from Form 10-Q / 10-K (57.86M)</t>
        </is>
      </c>
      <c r="D104" s="18" t="n"/>
      <c r="E104" s="18" t="n"/>
    </row>
    <row r="105">
      <c r="A105" s="36" t="inlineStr">
        <is>
          <t>IMPLIED DCF VALUE PER SHARE ($)</t>
        </is>
      </c>
      <c r="B105" s="33">
        <f>B103/B104</f>
        <v/>
      </c>
      <c r="C105" s="20" t="inlineStr">
        <is>
          <t>Intrinsic value per share derived from DCF valuation</t>
        </is>
      </c>
      <c r="D105" s="18" t="n"/>
      <c r="E105" s="18" t="n"/>
    </row>
    <row r="106">
      <c r="A106" s="8" t="inlineStr">
        <is>
          <t>Current Market Share Price ($)</t>
        </is>
      </c>
      <c r="B106" s="30">
        <f>B8</f>
        <v/>
      </c>
      <c r="C106" s="20" t="inlineStr">
        <is>
          <t>Market price as of August 20, 2026 ($63.50)</t>
        </is>
      </c>
      <c r="D106" s="18" t="n"/>
      <c r="E106" s="18" t="n"/>
    </row>
    <row r="107">
      <c r="A107" s="36" t="inlineStr">
        <is>
          <t>Implied Upside / (Downside) (%)</t>
        </is>
      </c>
      <c r="B107" s="38">
        <f>(B105/B106)-1</f>
        <v/>
      </c>
      <c r="C107" s="20" t="inlineStr">
        <is>
          <t>Potential return based on intrinsic DCF valuation</t>
        </is>
      </c>
      <c r="D107" s="18" t="n"/>
      <c r="E107" s="18" t="n"/>
    </row>
    <row r="108">
      <c r="A108" s="20" t="inlineStr">
        <is>
          <t>Market Implied EV / FY2026E EBIT Multiple</t>
        </is>
      </c>
      <c r="B108" s="39">
        <f>B99/E70</f>
        <v/>
      </c>
      <c r="C108" s="20" t="inlineStr">
        <is>
          <t>Implied forward valuation multiple on FY2026E EBIT</t>
        </is>
      </c>
      <c r="D108" s="18" t="n"/>
      <c r="E108" s="18" t="n"/>
    </row>
    <row r="109"/>
    <row r="110"/>
    <row r="111">
      <c r="A111" s="6" t="inlineStr">
        <is>
          <t>V. SENSITIVITY ANALYSIS - INSTITUTIONAL 5x5 VALUATION MATRICES</t>
        </is>
      </c>
      <c r="B111" s="7" t="n"/>
      <c r="C111" s="7" t="n"/>
      <c r="D111" s="7" t="n"/>
      <c r="E111" s="7" t="n"/>
      <c r="F111" s="7" t="n"/>
      <c r="G111" s="7" t="n"/>
    </row>
    <row r="112">
      <c r="A112" s="40" t="inlineStr">
        <is>
          <t>Table 1: Implied Share Price ($) — WACC (Discount Rate) vs. Perpetual Terminal Growth Rate</t>
        </is>
      </c>
    </row>
    <row r="113">
      <c r="B113" s="17" t="inlineStr">
        <is>
          <t>WACC \ Terminal g</t>
        </is>
      </c>
      <c r="C113" s="41" t="n">
        <v>0.02</v>
      </c>
      <c r="D113" s="41" t="n">
        <v>0.025</v>
      </c>
      <c r="E113" s="42" t="n">
        <v>0.0275</v>
      </c>
      <c r="F113" s="41" t="n">
        <v>0.03</v>
      </c>
      <c r="G113" s="41" t="n">
        <v>0.035</v>
      </c>
    </row>
    <row r="114">
      <c r="B114" s="43" t="n">
        <v>0.0775</v>
      </c>
      <c r="C114" s="30">
        <f>((E90/(1+$B114)^E88 + F90/(1+$B114)^F88 + G90/(1+$B114)^G88 + H90/(1+$B114)^H88 + I90/(1+$B114)^I88) + (I90*(1+C$113)/($B114-C$113))/(1+$B114)^I88 - $B$13) / $B$9</f>
        <v/>
      </c>
      <c r="D114" s="30">
        <f>((E90/(1+$B114)^E88 + F90/(1+$B114)^F88 + G90/(1+$B114)^G88 + H90/(1+$B114)^H88 + I90/(1+$B114)^I88) + (I90*(1+D$113)/($B114-D$113))/(1+$B114)^I88 - $B$13) / $B$9</f>
        <v/>
      </c>
      <c r="E114" s="30">
        <f>((E90/(1+$B114)^E88 + F90/(1+$B114)^F88 + G90/(1+$B114)^G88 + H90/(1+$B114)^H88 + I90/(1+$B114)^I88) + (I90*(1+E$113)/($B114-E$113))/(1+$B114)^I88 - $B$13) / $B$9</f>
        <v/>
      </c>
      <c r="F114" s="30">
        <f>((E90/(1+$B114)^E88 + F90/(1+$B114)^F88 + G90/(1+$B114)^G88 + H90/(1+$B114)^H88 + I90/(1+$B114)^I88) + (I90*(1+F$113)/($B114-F$113))/(1+$B114)^I88 - $B$13) / $B$9</f>
        <v/>
      </c>
      <c r="G114" s="30">
        <f>((E90/(1+$B114)^E88 + F90/(1+$B114)^F88 + G90/(1+$B114)^G88 + H90/(1+$B114)^H88 + I90/(1+$B114)^I88) + (I90*(1+G$113)/($B114-G$113))/(1+$B114)^I88 - $B$13) / $B$9</f>
        <v/>
      </c>
    </row>
    <row r="115">
      <c r="B115" s="43" t="n">
        <v>0.0825</v>
      </c>
      <c r="C115" s="30">
        <f>((E90/(1+$B115)^E88 + F90/(1+$B115)^F88 + G90/(1+$B115)^G88 + H90/(1+$B115)^H88 + I90/(1+$B115)^I88) + (I90*(1+C$113)/($B115-C$113))/(1+$B115)^I88 - $B$13) / $B$9</f>
        <v/>
      </c>
      <c r="D115" s="30">
        <f>((E90/(1+$B115)^E88 + F90/(1+$B115)^F88 + G90/(1+$B115)^G88 + H90/(1+$B115)^H88 + I90/(1+$B115)^I88) + (I90*(1+D$113)/($B115-D$113))/(1+$B115)^I88 - $B$13) / $B$9</f>
        <v/>
      </c>
      <c r="E115" s="30">
        <f>((E90/(1+$B115)^E88 + F90/(1+$B115)^F88 + G90/(1+$B115)^G88 + H90/(1+$B115)^H88 + I90/(1+$B115)^I88) + (I90*(1+E$113)/($B115-E$113))/(1+$B115)^I88 - $B$13) / $B$9</f>
        <v/>
      </c>
      <c r="F115" s="30">
        <f>((E90/(1+$B115)^E88 + F90/(1+$B115)^F88 + G90/(1+$B115)^G88 + H90/(1+$B115)^H88 + I90/(1+$B115)^I88) + (I90*(1+F$113)/($B115-F$113))/(1+$B115)^I88 - $B$13) / $B$9</f>
        <v/>
      </c>
      <c r="G115" s="30">
        <f>((E90/(1+$B115)^E88 + F90/(1+$B115)^F88 + G90/(1+$B115)^G88 + H90/(1+$B115)^H88 + I90/(1+$B115)^I88) + (I90*(1+G$113)/($B115-G$113))/(1+$B115)^I88 - $B$13) / $B$9</f>
        <v/>
      </c>
    </row>
    <row r="116">
      <c r="B116" s="44" t="n">
        <v>0.08749999999999999</v>
      </c>
      <c r="C116" s="30">
        <f>((E90/(1+$B116)^E88 + F90/(1+$B116)^F88 + G90/(1+$B116)^G88 + H90/(1+$B116)^H88 + I90/(1+$B116)^I88) + (I90*(1+C$113)/($B116-C$113))/(1+$B116)^I88 - $B$13) / $B$9</f>
        <v/>
      </c>
      <c r="D116" s="30">
        <f>((E90/(1+$B116)^E88 + F90/(1+$B116)^F88 + G90/(1+$B116)^G88 + H90/(1+$B116)^H88 + I90/(1+$B116)^I88) + (I90*(1+D$113)/($B116-D$113))/(1+$B116)^I88 - $B$13) / $B$9</f>
        <v/>
      </c>
      <c r="E116" s="33">
        <f>((E90/(1+$B116)^E88 + F90/(1+$B116)^F88 + G90/(1+$B116)^G88 + H90/(1+$B116)^H88 + I90/(1+$B116)^I88) + (I90*(1+E$113)/($B116-E$113))/(1+$B116)^I88 - $B$13) / $B$9</f>
        <v/>
      </c>
      <c r="F116" s="30">
        <f>((E90/(1+$B116)^E88 + F90/(1+$B116)^F88 + G90/(1+$B116)^G88 + H90/(1+$B116)^H88 + I90/(1+$B116)^I88) + (I90*(1+F$113)/($B116-F$113))/(1+$B116)^I88 - $B$13) / $B$9</f>
        <v/>
      </c>
      <c r="G116" s="30">
        <f>((E90/(1+$B116)^E88 + F90/(1+$B116)^F88 + G90/(1+$B116)^G88 + H90/(1+$B116)^H88 + I90/(1+$B116)^I88) + (I90*(1+G$113)/($B116-G$113))/(1+$B116)^I88 - $B$13) / $B$9</f>
        <v/>
      </c>
    </row>
    <row r="117">
      <c r="B117" s="43" t="n">
        <v>0.0925</v>
      </c>
      <c r="C117" s="30">
        <f>((E90/(1+$B117)^E88 + F90/(1+$B117)^F88 + G90/(1+$B117)^G88 + H90/(1+$B117)^H88 + I90/(1+$B117)^I88) + (I90*(1+C$113)/($B117-C$113))/(1+$B117)^I88 - $B$13) / $B$9</f>
        <v/>
      </c>
      <c r="D117" s="30">
        <f>((E90/(1+$B117)^E88 + F90/(1+$B117)^F88 + G90/(1+$B117)^G88 + H90/(1+$B117)^H88 + I90/(1+$B117)^I88) + (I90*(1+D$113)/($B117-D$113))/(1+$B117)^I88 - $B$13) / $B$9</f>
        <v/>
      </c>
      <c r="E117" s="30">
        <f>((E90/(1+$B117)^E88 + F90/(1+$B117)^F88 + G90/(1+$B117)^G88 + H90/(1+$B117)^H88 + I90/(1+$B117)^I88) + (I90*(1+E$113)/($B117-E$113))/(1+$B117)^I88 - $B$13) / $B$9</f>
        <v/>
      </c>
      <c r="F117" s="30">
        <f>((E90/(1+$B117)^E88 + F90/(1+$B117)^F88 + G90/(1+$B117)^G88 + H90/(1+$B117)^H88 + I90/(1+$B117)^I88) + (I90*(1+F$113)/($B117-F$113))/(1+$B117)^I88 - $B$13) / $B$9</f>
        <v/>
      </c>
      <c r="G117" s="30">
        <f>((E90/(1+$B117)^E88 + F90/(1+$B117)^F88 + G90/(1+$B117)^G88 + H90/(1+$B117)^H88 + I90/(1+$B117)^I88) + (I90*(1+G$113)/($B117-G$113))/(1+$B117)^I88 - $B$13) / $B$9</f>
        <v/>
      </c>
    </row>
    <row r="118">
      <c r="B118" s="43" t="n">
        <v>0.0975</v>
      </c>
      <c r="C118" s="30">
        <f>((E90/(1+$B118)^E88 + F90/(1+$B118)^F88 + G90/(1+$B118)^G88 + H90/(1+$B118)^H88 + I90/(1+$B118)^I88) + (I90*(1+C$113)/($B118-C$113))/(1+$B118)^I88 - $B$13) / $B$9</f>
        <v/>
      </c>
      <c r="D118" s="30">
        <f>((E90/(1+$B118)^E88 + F90/(1+$B118)^F88 + G90/(1+$B118)^G88 + H90/(1+$B118)^H88 + I90/(1+$B118)^I88) + (I90*(1+D$113)/($B118-D$113))/(1+$B118)^I88 - $B$13) / $B$9</f>
        <v/>
      </c>
      <c r="E118" s="30">
        <f>((E90/(1+$B118)^E88 + F90/(1+$B118)^F88 + G90/(1+$B118)^G88 + H90/(1+$B118)^H88 + I90/(1+$B118)^I88) + (I90*(1+E$113)/($B118-E$113))/(1+$B118)^I88 - $B$13) / $B$9</f>
        <v/>
      </c>
      <c r="F118" s="30">
        <f>((E90/(1+$B118)^E88 + F90/(1+$B118)^F88 + G90/(1+$B118)^G88 + H90/(1+$B118)^H88 + I90/(1+$B118)^I88) + (I90*(1+F$113)/($B118-F$113))/(1+$B118)^I88 - $B$13) / $B$9</f>
        <v/>
      </c>
      <c r="G118" s="30">
        <f>((E90/(1+$B118)^E88 + F90/(1+$B118)^F88 + G90/(1+$B118)^G88 + H90/(1+$B118)^H88 + I90/(1+$B118)^I88) + (I90*(1+G$113)/($B118-G$113))/(1+$B118)^I88 - $B$13) / $B$9</f>
        <v/>
      </c>
    </row>
    <row r="119"/>
    <row r="120"/>
    <row r="121">
      <c r="A121" s="40" t="inlineStr">
        <is>
          <t>Table 2: Implied Share Price ($) — FY2026E Revenue Growth (%) vs. FY2030E EBIT Margin (%)</t>
        </is>
      </c>
    </row>
    <row r="122">
      <c r="B122" s="17" t="inlineStr">
        <is>
          <t>FY26E Rev % \ FY30E EBIT %</t>
        </is>
      </c>
      <c r="C122" s="45" t="n">
        <v>0.14</v>
      </c>
      <c r="D122" s="45" t="n">
        <v>0.15</v>
      </c>
      <c r="E122" s="46" t="n">
        <v>0.16</v>
      </c>
      <c r="F122" s="45" t="n">
        <v>0.17</v>
      </c>
      <c r="G122" s="45" t="n">
        <v>0.18</v>
      </c>
    </row>
    <row r="123">
      <c r="B123" s="47" t="n">
        <v>0.24</v>
      </c>
      <c r="C123" s="30">
        <f>(((E91*((1+$B123)/(1+$C$52))) + (F91*((1+$B123)/(1+$C$52))) + (G91*((1+$B123)/(1+$C$52))) + (H91*((1+$B123)/(1+$C$52))) + (I91*((1+$B123)/(1+$C$52))*(C$122/$G$54))) + (B97*((1+$B123)/(1+$C$52))*(C$122/$G$54)) - $B$13) / $B$9</f>
        <v/>
      </c>
      <c r="D123" s="30">
        <f>(((E91*((1+$B123)/(1+$C$52))) + (F91*((1+$B123)/(1+$C$52))) + (G91*((1+$B123)/(1+$C$52))) + (H91*((1+$B123)/(1+$C$52))) + (I91*((1+$B123)/(1+$C$52))*(D$122/$G$54))) + (B97*((1+$B123)/(1+$C$52))*(D$122/$G$54)) - $B$13) / $B$9</f>
        <v/>
      </c>
      <c r="E123" s="30">
        <f>(((E91*((1+$B123)/(1+$C$52))) + (F91*((1+$B123)/(1+$C$52))) + (G91*((1+$B123)/(1+$C$52))) + (H91*((1+$B123)/(1+$C$52))) + (I91*((1+$B123)/(1+$C$52))*(E$122/$G$54))) + (B97*((1+$B123)/(1+$C$52))*(E$122/$G$54)) - $B$13) / $B$9</f>
        <v/>
      </c>
      <c r="F123" s="30">
        <f>(((E91*((1+$B123)/(1+$C$52))) + (F91*((1+$B123)/(1+$C$52))) + (G91*((1+$B123)/(1+$C$52))) + (H91*((1+$B123)/(1+$C$52))) + (I91*((1+$B123)/(1+$C$52))*(F$122/$G$54))) + (B97*((1+$B123)/(1+$C$52))*(F$122/$G$54)) - $B$13) / $B$9</f>
        <v/>
      </c>
      <c r="G123" s="30">
        <f>(((E91*((1+$B123)/(1+$C$52))) + (F91*((1+$B123)/(1+$C$52))) + (G91*((1+$B123)/(1+$C$52))) + (H91*((1+$B123)/(1+$C$52))) + (I91*((1+$B123)/(1+$C$52))*(G$122/$G$54))) + (B97*((1+$B123)/(1+$C$52))*(G$122/$G$54)) - $B$13) / $B$9</f>
        <v/>
      </c>
    </row>
    <row r="124">
      <c r="B124" s="47" t="n">
        <v>0.27</v>
      </c>
      <c r="C124" s="30">
        <f>(((E91*((1+$B124)/(1+$C$52))) + (F91*((1+$B124)/(1+$C$52))) + (G91*((1+$B124)/(1+$C$52))) + (H91*((1+$B124)/(1+$C$52))) + (I91*((1+$B124)/(1+$C$52))*(C$122/$G$54))) + (B97*((1+$B124)/(1+$C$52))*(C$122/$G$54)) - $B$13) / $B$9</f>
        <v/>
      </c>
      <c r="D124" s="30">
        <f>(((E91*((1+$B124)/(1+$C$52))) + (F91*((1+$B124)/(1+$C$52))) + (G91*((1+$B124)/(1+$C$52))) + (H91*((1+$B124)/(1+$C$52))) + (I91*((1+$B124)/(1+$C$52))*(D$122/$G$54))) + (B97*((1+$B124)/(1+$C$52))*(D$122/$G$54)) - $B$13) / $B$9</f>
        <v/>
      </c>
      <c r="E124" s="30">
        <f>(((E91*((1+$B124)/(1+$C$52))) + (F91*((1+$B124)/(1+$C$52))) + (G91*((1+$B124)/(1+$C$52))) + (H91*((1+$B124)/(1+$C$52))) + (I91*((1+$B124)/(1+$C$52))*(E$122/$G$54))) + (B97*((1+$B124)/(1+$C$52))*(E$122/$G$54)) - $B$13) / $B$9</f>
        <v/>
      </c>
      <c r="F124" s="30">
        <f>(((E91*((1+$B124)/(1+$C$52))) + (F91*((1+$B124)/(1+$C$52))) + (G91*((1+$B124)/(1+$C$52))) + (H91*((1+$B124)/(1+$C$52))) + (I91*((1+$B124)/(1+$C$52))*(F$122/$G$54))) + (B97*((1+$B124)/(1+$C$52))*(F$122/$G$54)) - $B$13) / $B$9</f>
        <v/>
      </c>
      <c r="G124" s="30">
        <f>(((E91*((1+$B124)/(1+$C$52))) + (F91*((1+$B124)/(1+$C$52))) + (G91*((1+$B124)/(1+$C$52))) + (H91*((1+$B124)/(1+$C$52))) + (I91*((1+$B124)/(1+$C$52))*(G$122/$G$54))) + (B97*((1+$B124)/(1+$C$52))*(G$122/$G$54)) - $B$13) / $B$9</f>
        <v/>
      </c>
    </row>
    <row r="125">
      <c r="B125" s="48" t="n">
        <v>0.305</v>
      </c>
      <c r="C125" s="30">
        <f>(((E91*((1+$B125)/(1+$C$52))) + (F91*((1+$B125)/(1+$C$52))) + (G91*((1+$B125)/(1+$C$52))) + (H91*((1+$B125)/(1+$C$52))) + (I91*((1+$B125)/(1+$C$52))*(C$122/$G$54))) + (B97*((1+$B125)/(1+$C$52))*(C$122/$G$54)) - $B$13) / $B$9</f>
        <v/>
      </c>
      <c r="D125" s="30">
        <f>(((E91*((1+$B125)/(1+$C$52))) + (F91*((1+$B125)/(1+$C$52))) + (G91*((1+$B125)/(1+$C$52))) + (H91*((1+$B125)/(1+$C$52))) + (I91*((1+$B125)/(1+$C$52))*(D$122/$G$54))) + (B97*((1+$B125)/(1+$C$52))*(D$122/$G$54)) - $B$13) / $B$9</f>
        <v/>
      </c>
      <c r="E125" s="33">
        <f>(((E91*((1+$B125)/(1+$C$52))) + (F91*((1+$B125)/(1+$C$52))) + (G91*((1+$B125)/(1+$C$52))) + (H91*((1+$B125)/(1+$C$52))) + (I91*((1+$B125)/(1+$C$52))*(E$122/$G$54))) + (B97*((1+$B125)/(1+$C$52))*(E$122/$G$54)) - $B$13) / $B$9</f>
        <v/>
      </c>
      <c r="F125" s="30">
        <f>(((E91*((1+$B125)/(1+$C$52))) + (F91*((1+$B125)/(1+$C$52))) + (G91*((1+$B125)/(1+$C$52))) + (H91*((1+$B125)/(1+$C$52))) + (I91*((1+$B125)/(1+$C$52))*(F$122/$G$54))) + (B97*((1+$B125)/(1+$C$52))*(F$122/$G$54)) - $B$13) / $B$9</f>
        <v/>
      </c>
      <c r="G125" s="30">
        <f>(((E91*((1+$B125)/(1+$C$52))) + (F91*((1+$B125)/(1+$C$52))) + (G91*((1+$B125)/(1+$C$52))) + (H91*((1+$B125)/(1+$C$52))) + (I91*((1+$B125)/(1+$C$52))*(G$122/$G$54))) + (B97*((1+$B125)/(1+$C$52))*(G$122/$G$54)) - $B$13) / $B$9</f>
        <v/>
      </c>
    </row>
    <row r="126">
      <c r="B126" s="47" t="n">
        <v>0.34</v>
      </c>
      <c r="C126" s="30">
        <f>(((E91*((1+$B126)/(1+$C$52))) + (F91*((1+$B126)/(1+$C$52))) + (G91*((1+$B126)/(1+$C$52))) + (H91*((1+$B126)/(1+$C$52))) + (I91*((1+$B126)/(1+$C$52))*(C$122/$G$54))) + (B97*((1+$B126)/(1+$C$52))*(C$122/$G$54)) - $B$13) / $B$9</f>
        <v/>
      </c>
      <c r="D126" s="30">
        <f>(((E91*((1+$B126)/(1+$C$52))) + (F91*((1+$B126)/(1+$C$52))) + (G91*((1+$B126)/(1+$C$52))) + (H91*((1+$B126)/(1+$C$52))) + (I91*((1+$B126)/(1+$C$52))*(D$122/$G$54))) + (B97*((1+$B126)/(1+$C$52))*(D$122/$G$54)) - $B$13) / $B$9</f>
        <v/>
      </c>
      <c r="E126" s="30">
        <f>(((E91*((1+$B126)/(1+$C$52))) + (F91*((1+$B126)/(1+$C$52))) + (G91*((1+$B126)/(1+$C$52))) + (H91*((1+$B126)/(1+$C$52))) + (I91*((1+$B126)/(1+$C$52))*(E$122/$G$54))) + (B97*((1+$B126)/(1+$C$52))*(E$122/$G$54)) - $B$13) / $B$9</f>
        <v/>
      </c>
      <c r="F126" s="30">
        <f>(((E91*((1+$B126)/(1+$C$52))) + (F91*((1+$B126)/(1+$C$52))) + (G91*((1+$B126)/(1+$C$52))) + (H91*((1+$B126)/(1+$C$52))) + (I91*((1+$B126)/(1+$C$52))*(F$122/$G$54))) + (B97*((1+$B126)/(1+$C$52))*(F$122/$G$54)) - $B$13) / $B$9</f>
        <v/>
      </c>
      <c r="G126" s="30">
        <f>(((E91*((1+$B126)/(1+$C$52))) + (F91*((1+$B126)/(1+$C$52))) + (G91*((1+$B126)/(1+$C$52))) + (H91*((1+$B126)/(1+$C$52))) + (I91*((1+$B126)/(1+$C$52))*(G$122/$G$54))) + (B97*((1+$B126)/(1+$C$52))*(G$122/$G$54)) - $B$13) / $B$9</f>
        <v/>
      </c>
    </row>
    <row r="127">
      <c r="B127" s="47" t="n">
        <v>0.37</v>
      </c>
      <c r="C127" s="30">
        <f>(((E91*((1+$B127)/(1+$C$52))) + (F91*((1+$B127)/(1+$C$52))) + (G91*((1+$B127)/(1+$C$52))) + (H91*((1+$B127)/(1+$C$52))) + (I91*((1+$B127)/(1+$C$52))*(C$122/$G$54))) + (B97*((1+$B127)/(1+$C$52))*(C$122/$G$54)) - $B$13) / $B$9</f>
        <v/>
      </c>
      <c r="D127" s="30">
        <f>(((E91*((1+$B127)/(1+$C$52))) + (F91*((1+$B127)/(1+$C$52))) + (G91*((1+$B127)/(1+$C$52))) + (H91*((1+$B127)/(1+$C$52))) + (I91*((1+$B127)/(1+$C$52))*(D$122/$G$54))) + (B97*((1+$B127)/(1+$C$52))*(D$122/$G$54)) - $B$13) / $B$9</f>
        <v/>
      </c>
      <c r="E127" s="30">
        <f>(((E91*((1+$B127)/(1+$C$52))) + (F91*((1+$B127)/(1+$C$52))) + (G91*((1+$B127)/(1+$C$52))) + (H91*((1+$B127)/(1+$C$52))) + (I91*((1+$B127)/(1+$C$52))*(E$122/$G$54))) + (B97*((1+$B127)/(1+$C$52))*(E$122/$G$54)) - $B$13) / $B$9</f>
        <v/>
      </c>
      <c r="F127" s="30">
        <f>(((E91*((1+$B127)/(1+$C$52))) + (F91*((1+$B127)/(1+$C$52))) + (G91*((1+$B127)/(1+$C$52))) + (H91*((1+$B127)/(1+$C$52))) + (I91*((1+$B127)/(1+$C$52))*(F$122/$G$54))) + (B97*((1+$B127)/(1+$C$52))*(F$122/$G$54)) - $B$13) / $B$9</f>
        <v/>
      </c>
      <c r="G127" s="30">
        <f>(((E91*((1+$B127)/(1+$C$52))) + (F91*((1+$B127)/(1+$C$52))) + (G91*((1+$B127)/(1+$C$52))) + (H91*((1+$B127)/(1+$C$52))) + (I91*((1+$B127)/(1+$C$52))*(G$122/$G$54))) + (B97*((1+$B127)/(1+$C$52))*(G$122/$G$54)) - $B$13) / $B$9</f>
        <v/>
      </c>
    </row>
    <row r="128"/>
    <row r="129"/>
    <row r="130">
      <c r="A130" s="40" t="inlineStr">
        <is>
          <t>Table 3: Implied Share Price ($) — Equity Beta vs. Risk-Free Rate (10-Yr US Treasury Yield)</t>
        </is>
      </c>
    </row>
    <row r="131">
      <c r="B131" s="17" t="inlineStr">
        <is>
          <t>Beta \ 10Y UST Yield</t>
        </is>
      </c>
      <c r="C131" s="41" t="n">
        <v>0.0413</v>
      </c>
      <c r="D131" s="41" t="n">
        <v>0.0438</v>
      </c>
      <c r="E131" s="42" t="n">
        <v>0.0463</v>
      </c>
      <c r="F131" s="41" t="n">
        <v>0.0488</v>
      </c>
      <c r="G131" s="41" t="n">
        <v>0.0513</v>
      </c>
    </row>
    <row r="132">
      <c r="B132" s="49" t="n">
        <v>0.65</v>
      </c>
      <c r="C132" s="30">
        <f>((E90/(1+(C$131+$B132*0.0550))^E88 + F90/(1+(C$131+$B132*0.0550))^F88 + G90/(1+(C$131+$B132*0.0550))^G88 + H90/(1+(C$131+$B132*0.0550))^H88 + I90/(1+(C$131+$B132*0.0550))^I88) + (I90*(1+$H$58)/((C$131+$B132*0.0550)-$H$58))/(1+(C$131+$B132*0.0550))^I88 - $B$13) / $B$9</f>
        <v/>
      </c>
      <c r="D132" s="30">
        <f>((E90/(1+(D$131+$B132*0.0550))^E88 + F90/(1+(D$131+$B132*0.0550))^F88 + G90/(1+(D$131+$B132*0.0550))^G88 + H90/(1+(D$131+$B132*0.0550))^H88 + I90/(1+(D$131+$B132*0.0550))^I88) + (I90*(1+$H$58)/((D$131+$B132*0.0550)-$H$58))/(1+(D$131+$B132*0.0550))^I88 - $B$13) / $B$9</f>
        <v/>
      </c>
      <c r="E132" s="30">
        <f>((E90/(1+(E$131+$B132*0.0550))^E88 + F90/(1+(E$131+$B132*0.0550))^F88 + G90/(1+(E$131+$B132*0.0550))^G88 + H90/(1+(E$131+$B132*0.0550))^H88 + I90/(1+(E$131+$B132*0.0550))^I88) + (I90*(1+$H$58)/((E$131+$B132*0.0550)-$H$58))/(1+(E$131+$B132*0.0550))^I88 - $B$13) / $B$9</f>
        <v/>
      </c>
      <c r="F132" s="30">
        <f>((E90/(1+(F$131+$B132*0.0550))^E88 + F90/(1+(F$131+$B132*0.0550))^F88 + G90/(1+(F$131+$B132*0.0550))^G88 + H90/(1+(F$131+$B132*0.0550))^H88 + I90/(1+(F$131+$B132*0.0550))^I88) + (I90*(1+$H$58)/((F$131+$B132*0.0550)-$H$58))/(1+(F$131+$B132*0.0550))^I88 - $B$13) / $B$9</f>
        <v/>
      </c>
      <c r="G132" s="30">
        <f>((E90/(1+(G$131+$B132*0.0550))^E88 + F90/(1+(G$131+$B132*0.0550))^F88 + G90/(1+(G$131+$B132*0.0550))^G88 + H90/(1+(G$131+$B132*0.0550))^H88 + I90/(1+(G$131+$B132*0.0550))^I88) + (I90*(1+$H$58)/((G$131+$B132*0.0550)-$H$58))/(1+(G$131+$B132*0.0550))^I88 - $B$13) / $B$9</f>
        <v/>
      </c>
    </row>
    <row r="133">
      <c r="B133" s="49" t="n">
        <v>0.7</v>
      </c>
      <c r="C133" s="30">
        <f>((E90/(1+(C$131+$B133*0.0550))^E88 + F90/(1+(C$131+$B133*0.0550))^F88 + G90/(1+(C$131+$B133*0.0550))^G88 + H90/(1+(C$131+$B133*0.0550))^H88 + I90/(1+(C$131+$B133*0.0550))^I88) + (I90*(1+$H$58)/((C$131+$B133*0.0550)-$H$58))/(1+(C$131+$B133*0.0550))^I88 - $B$13) / $B$9</f>
        <v/>
      </c>
      <c r="D133" s="30">
        <f>((E90/(1+(D$131+$B133*0.0550))^E88 + F90/(1+(D$131+$B133*0.0550))^F88 + G90/(1+(D$131+$B133*0.0550))^G88 + H90/(1+(D$131+$B133*0.0550))^H88 + I90/(1+(D$131+$B133*0.0550))^I88) + (I90*(1+$H$58)/((D$131+$B133*0.0550)-$H$58))/(1+(D$131+$B133*0.0550))^I88 - $B$13) / $B$9</f>
        <v/>
      </c>
      <c r="E133" s="30">
        <f>((E90/(1+(E$131+$B133*0.0550))^E88 + F90/(1+(E$131+$B133*0.0550))^F88 + G90/(1+(E$131+$B133*0.0550))^G88 + H90/(1+(E$131+$B133*0.0550))^H88 + I90/(1+(E$131+$B133*0.0550))^I88) + (I90*(1+$H$58)/((E$131+$B133*0.0550)-$H$58))/(1+(E$131+$B133*0.0550))^I88 - $B$13) / $B$9</f>
        <v/>
      </c>
      <c r="F133" s="30">
        <f>((E90/(1+(F$131+$B133*0.0550))^E88 + F90/(1+(F$131+$B133*0.0550))^F88 + G90/(1+(F$131+$B133*0.0550))^G88 + H90/(1+(F$131+$B133*0.0550))^H88 + I90/(1+(F$131+$B133*0.0550))^I88) + (I90*(1+$H$58)/((F$131+$B133*0.0550)-$H$58))/(1+(F$131+$B133*0.0550))^I88 - $B$13) / $B$9</f>
        <v/>
      </c>
      <c r="G133" s="30">
        <f>((E90/(1+(G$131+$B133*0.0550))^E88 + F90/(1+(G$131+$B133*0.0550))^F88 + G90/(1+(G$131+$B133*0.0550))^G88 + H90/(1+(G$131+$B133*0.0550))^H88 + I90/(1+(G$131+$B133*0.0550))^I88) + (I90*(1+$H$58)/((G$131+$B133*0.0550)-$H$58))/(1+(G$131+$B133*0.0550))^I88 - $B$13) / $B$9</f>
        <v/>
      </c>
    </row>
    <row r="134">
      <c r="B134" s="50" t="n">
        <v>0.75</v>
      </c>
      <c r="C134" s="30">
        <f>((E90/(1+(C$131+$B134*0.0550))^E88 + F90/(1+(C$131+$B134*0.0550))^F88 + G90/(1+(C$131+$B134*0.0550))^G88 + H90/(1+(C$131+$B134*0.0550))^H88 + I90/(1+(C$131+$B134*0.0550))^I88) + (I90*(1+$H$58)/((C$131+$B134*0.0550)-$H$58))/(1+(C$131+$B134*0.0550))^I88 - $B$13) / $B$9</f>
        <v/>
      </c>
      <c r="D134" s="30">
        <f>((E90/(1+(D$131+$B134*0.0550))^E88 + F90/(1+(D$131+$B134*0.0550))^F88 + G90/(1+(D$131+$B134*0.0550))^G88 + H90/(1+(D$131+$B134*0.0550))^H88 + I90/(1+(D$131+$B134*0.0550))^I88) + (I90*(1+$H$58)/((D$131+$B134*0.0550)-$H$58))/(1+(D$131+$B134*0.0550))^I88 - $B$13) / $B$9</f>
        <v/>
      </c>
      <c r="E134" s="33">
        <f>((E90/(1+(E$131+$B134*0.0550))^E88 + F90/(1+(E$131+$B134*0.0550))^F88 + G90/(1+(E$131+$B134*0.0550))^G88 + H90/(1+(E$131+$B134*0.0550))^H88 + I90/(1+(E$131+$B134*0.0550))^I88) + (I90*(1+$H$58)/((E$131+$B134*0.0550)-$H$58))/(1+(E$131+$B134*0.0550))^I88 - $B$13) / $B$9</f>
        <v/>
      </c>
      <c r="F134" s="30">
        <f>((E90/(1+(F$131+$B134*0.0550))^E88 + F90/(1+(F$131+$B134*0.0550))^F88 + G90/(1+(F$131+$B134*0.0550))^G88 + H90/(1+(F$131+$B134*0.0550))^H88 + I90/(1+(F$131+$B134*0.0550))^I88) + (I90*(1+$H$58)/((F$131+$B134*0.0550)-$H$58))/(1+(F$131+$B134*0.0550))^I88 - $B$13) / $B$9</f>
        <v/>
      </c>
      <c r="G134" s="30">
        <f>((E90/(1+(G$131+$B134*0.0550))^E88 + F90/(1+(G$131+$B134*0.0550))^F88 + G90/(1+(G$131+$B134*0.0550))^G88 + H90/(1+(G$131+$B134*0.0550))^H88 + I90/(1+(G$131+$B134*0.0550))^I88) + (I90*(1+$H$58)/((G$131+$B134*0.0550)-$H$58))/(1+(G$131+$B134*0.0550))^I88 - $B$13) / $B$9</f>
        <v/>
      </c>
    </row>
    <row r="135">
      <c r="B135" s="49" t="n">
        <v>0.8</v>
      </c>
      <c r="C135" s="30">
        <f>((E90/(1+(C$131+$B135*0.0550))^E88 + F90/(1+(C$131+$B135*0.0550))^F88 + G90/(1+(C$131+$B135*0.0550))^G88 + H90/(1+(C$131+$B135*0.0550))^H88 + I90/(1+(C$131+$B135*0.0550))^I88) + (I90*(1+$H$58)/((C$131+$B135*0.0550)-$H$58))/(1+(C$131+$B135*0.0550))^I88 - $B$13) / $B$9</f>
        <v/>
      </c>
      <c r="D135" s="30">
        <f>((E90/(1+(D$131+$B135*0.0550))^E88 + F90/(1+(D$131+$B135*0.0550))^F88 + G90/(1+(D$131+$B135*0.0550))^G88 + H90/(1+(D$131+$B135*0.0550))^H88 + I90/(1+(D$131+$B135*0.0550))^I88) + (I90*(1+$H$58)/((D$131+$B135*0.0550)-$H$58))/(1+(D$131+$B135*0.0550))^I88 - $B$13) / $B$9</f>
        <v/>
      </c>
      <c r="E135" s="30">
        <f>((E90/(1+(E$131+$B135*0.0550))^E88 + F90/(1+(E$131+$B135*0.0550))^F88 + G90/(1+(E$131+$B135*0.0550))^G88 + H90/(1+(E$131+$B135*0.0550))^H88 + I90/(1+(E$131+$B135*0.0550))^I88) + (I90*(1+$H$58)/((E$131+$B135*0.0550)-$H$58))/(1+(E$131+$B135*0.0550))^I88 - $B$13) / $B$9</f>
        <v/>
      </c>
      <c r="F135" s="30">
        <f>((E90/(1+(F$131+$B135*0.0550))^E88 + F90/(1+(F$131+$B135*0.0550))^F88 + G90/(1+(F$131+$B135*0.0550))^G88 + H90/(1+(F$131+$B135*0.0550))^H88 + I90/(1+(F$131+$B135*0.0550))^I88) + (I90*(1+$H$58)/((F$131+$B135*0.0550)-$H$58))/(1+(F$131+$B135*0.0550))^I88 - $B$13) / $B$9</f>
        <v/>
      </c>
      <c r="G135" s="30">
        <f>((E90/(1+(G$131+$B135*0.0550))^E88 + F90/(1+(G$131+$B135*0.0550))^F88 + G90/(1+(G$131+$B135*0.0550))^G88 + H90/(1+(G$131+$B135*0.0550))^H88 + I90/(1+(G$131+$B135*0.0550))^I88) + (I90*(1+$H$58)/((G$131+$B135*0.0550)-$H$58))/(1+(G$131+$B135*0.0550))^I88 - $B$13) / $B$9</f>
        <v/>
      </c>
    </row>
    <row r="136">
      <c r="B136" s="49" t="n">
        <v>0.85</v>
      </c>
      <c r="C136" s="30">
        <f>((E90/(1+(C$131+$B136*0.0550))^E88 + F90/(1+(C$131+$B136*0.0550))^F88 + G90/(1+(C$131+$B136*0.0550))^G88 + H90/(1+(C$131+$B136*0.0550))^H88 + I90/(1+(C$131+$B136*0.0550))^I88) + (I90*(1+$H$58)/((C$131+$B136*0.0550)-$H$58))/(1+(C$131+$B136*0.0550))^I88 - $B$13) / $B$9</f>
        <v/>
      </c>
      <c r="D136" s="30">
        <f>((E90/(1+(D$131+$B136*0.0550))^E88 + F90/(1+(D$131+$B136*0.0550))^F88 + G90/(1+(D$131+$B136*0.0550))^G88 + H90/(1+(D$131+$B136*0.0550))^H88 + I90/(1+(D$131+$B136*0.0550))^I88) + (I90*(1+$H$58)/((D$131+$B136*0.0550)-$H$58))/(1+(D$131+$B136*0.0550))^I88 - $B$13) / $B$9</f>
        <v/>
      </c>
      <c r="E136" s="30">
        <f>((E90/(1+(E$131+$B136*0.0550))^E88 + F90/(1+(E$131+$B136*0.0550))^F88 + G90/(1+(E$131+$B136*0.0550))^G88 + H90/(1+(E$131+$B136*0.0550))^H88 + I90/(1+(E$131+$B136*0.0550))^I88) + (I90*(1+$H$58)/((E$131+$B136*0.0550)-$H$58))/(1+(E$131+$B136*0.0550))^I88 - $B$13) / $B$9</f>
        <v/>
      </c>
      <c r="F136" s="30">
        <f>((E90/(1+(F$131+$B136*0.0550))^E88 + F90/(1+(F$131+$B136*0.0550))^F88 + G90/(1+(F$131+$B136*0.0550))^G88 + H90/(1+(F$131+$B136*0.0550))^H88 + I90/(1+(F$131+$B136*0.0550))^I88) + (I90*(1+$H$58)/((F$131+$B136*0.0550)-$H$58))/(1+(F$131+$B136*0.0550))^I88 - $B$13) / $B$9</f>
        <v/>
      </c>
      <c r="G136" s="30">
        <f>((E90/(1+(G$131+$B136*0.0550))^E88 + F90/(1+(G$131+$B136*0.0550))^F88 + G90/(1+(G$131+$B136*0.0550))^G88 + H90/(1+(G$131+$B136*0.0550))^H88 + I90/(1+(G$131+$B136*0.0550))^I88) + (I90*(1+$H$58)/((G$131+$B136*0.0550)-$H$58))/(1+(G$131+$B136*0.0550))^I88 - $B$13) / $B$9</f>
        <v/>
      </c>
    </row>
  </sheetData>
  <mergeCells count="30">
    <mergeCell ref="A7:I7"/>
    <mergeCell ref="C99:E99"/>
    <mergeCell ref="C94:E94"/>
    <mergeCell ref="C105:E105"/>
    <mergeCell ref="A50:I50"/>
    <mergeCell ref="A112:G112"/>
    <mergeCell ref="A121:G121"/>
    <mergeCell ref="C95:E95"/>
    <mergeCell ref="A86:I86"/>
    <mergeCell ref="A111:G111"/>
    <mergeCell ref="A76:I76"/>
    <mergeCell ref="A17:I17"/>
    <mergeCell ref="A130:G130"/>
    <mergeCell ref="C106:E106"/>
    <mergeCell ref="A28:I28"/>
    <mergeCell ref="C102:E102"/>
    <mergeCell ref="C96:E96"/>
    <mergeCell ref="C101:E101"/>
    <mergeCell ref="A39:I39"/>
    <mergeCell ref="C108:E108"/>
    <mergeCell ref="C98:E98"/>
    <mergeCell ref="C104:E104"/>
    <mergeCell ref="C107:E107"/>
    <mergeCell ref="C97:E97"/>
    <mergeCell ref="B5:F5"/>
    <mergeCell ref="A61:I61"/>
    <mergeCell ref="A93:E93"/>
    <mergeCell ref="C100:E100"/>
    <mergeCell ref="C103:E103"/>
    <mergeCell ref="A16:I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7" customWidth="1" min="3" max="3"/>
    <col width="20" customWidth="1" min="4" max="4"/>
    <col width="48" customWidth="1" min="5" max="5"/>
  </cols>
  <sheetData>
    <row r="1">
      <c r="A1" s="1" t="inlineStr">
        <is>
          <t>The Vita Coco Company, Inc. (NASDAQ: COCO)</t>
        </is>
      </c>
    </row>
    <row r="2">
      <c r="A2" s="2" t="inlineStr">
        <is>
          <t>Weighted Average Cost of Capital (WACC) Schedule | CAPM Methodology &amp; Capital Structure</t>
        </is>
      </c>
    </row>
    <row r="3"/>
    <row r="4">
      <c r="A4" s="6" t="inlineStr">
        <is>
          <t>I. COST OF EQUITY (CAPM METHODOLOGY)</t>
        </is>
      </c>
      <c r="B4" s="7" t="n"/>
      <c r="C4" s="7" t="n"/>
      <c r="D4" s="7" t="n"/>
      <c r="E4" s="7" t="n"/>
    </row>
    <row r="5">
      <c r="A5" s="8" t="inlineStr">
        <is>
          <t>Risk-Free Rate (10-Yr US Treasury Yield)</t>
        </is>
      </c>
      <c r="B5" s="21" t="n">
        <v>0.0463</v>
      </c>
    </row>
    <row r="6">
      <c r="A6" s="8" t="inlineStr">
        <is>
          <t>Equity Beta (5-Year Monthly vs S&amp;P 500)</t>
        </is>
      </c>
      <c r="B6" s="51" t="n">
        <v>0.75</v>
      </c>
    </row>
    <row r="7">
      <c r="A7" s="8" t="inlineStr">
        <is>
          <t>Market Equity Risk Premium (ERP)</t>
        </is>
      </c>
      <c r="B7" s="21" t="n">
        <v>0.055</v>
      </c>
    </row>
    <row r="8">
      <c r="A8" s="11" t="inlineStr">
        <is>
          <t>Cost of Equity (Ke = Rf + Beta * ERP)</t>
        </is>
      </c>
      <c r="B8" s="26">
        <f>B5+B6*B7</f>
        <v/>
      </c>
    </row>
    <row r="9"/>
    <row r="10">
      <c r="A10" s="6" t="inlineStr">
        <is>
          <t>II. COST OF DEBT &amp; CAPITAL STRUCTURE WEIGHTS</t>
        </is>
      </c>
      <c r="B10" s="7" t="n"/>
      <c r="C10" s="7" t="n"/>
      <c r="D10" s="7" t="n"/>
      <c r="E10" s="7" t="n"/>
    </row>
    <row r="11">
      <c r="A11" s="8" t="inlineStr">
        <is>
          <t>Credit Rating Equivalent</t>
        </is>
      </c>
      <c r="B11" s="52" t="inlineStr">
        <is>
          <t>Not Rated / Investment Grade Eq.</t>
        </is>
      </c>
    </row>
    <row r="12">
      <c r="A12" s="8" t="inlineStr">
        <is>
          <t>Pre-Tax Cost of Debt (Kd)</t>
        </is>
      </c>
      <c r="B12" s="21" t="n">
        <v>0.05</v>
      </c>
    </row>
    <row r="13">
      <c r="A13" s="8" t="inlineStr">
        <is>
          <t>Effective Corporate Tax Rate (t)</t>
        </is>
      </c>
      <c r="B13" s="13" t="n">
        <v>0.225</v>
      </c>
    </row>
    <row r="14">
      <c r="A14" s="11" t="inlineStr">
        <is>
          <t>After-Tax Cost of Debt (Kd * (1 - t))</t>
        </is>
      </c>
      <c r="B14" s="53">
        <f>B12*(1-B13)</f>
        <v/>
      </c>
    </row>
    <row r="15">
      <c r="A15" s="8" t="inlineStr">
        <is>
          <t>Current Share Price ($)</t>
        </is>
      </c>
      <c r="B15" s="54">
        <f>'DCF Valuation'!B8</f>
        <v/>
      </c>
    </row>
    <row r="16">
      <c r="A16" s="8" t="inlineStr">
        <is>
          <t>Diluted Shares Outstanding (M)</t>
        </is>
      </c>
      <c r="B16" s="55">
        <f>'DCF Valuation'!B9</f>
        <v/>
      </c>
    </row>
    <row r="17">
      <c r="A17" s="11" t="inlineStr">
        <is>
          <t>Market Capitalization ($M)</t>
        </is>
      </c>
      <c r="B17" s="12">
        <f>B15*B16</f>
        <v/>
      </c>
    </row>
    <row r="18">
      <c r="A18" s="8" t="inlineStr">
        <is>
          <t>Total Debt (Short-Term + Long-Term Debt) ($M)</t>
        </is>
      </c>
      <c r="B18" s="9" t="n">
        <v>0</v>
      </c>
    </row>
    <row r="19">
      <c r="A19" s="8" t="inlineStr">
        <is>
          <t>Cash, Cash Equivalents &amp; ST Investments ($M)</t>
        </is>
      </c>
      <c r="B19" s="9" t="n">
        <v>279</v>
      </c>
    </row>
    <row r="20">
      <c r="A20" s="11" t="inlineStr">
        <is>
          <t>Net Debt / (Net Cash) ($M)</t>
        </is>
      </c>
      <c r="B20" s="12">
        <f>B18-B19</f>
        <v/>
      </c>
    </row>
    <row r="21">
      <c r="A21" s="11" t="inlineStr">
        <is>
          <t>Enterprise Value ($M)</t>
        </is>
      </c>
      <c r="B21" s="12">
        <f>B17+B20</f>
        <v/>
      </c>
    </row>
    <row r="22"/>
    <row r="23">
      <c r="A23" s="6" t="inlineStr">
        <is>
          <t>III. WEIGHTED AVERAGE COST OF CAPITAL (WACC)</t>
        </is>
      </c>
      <c r="B23" s="7" t="n"/>
      <c r="C23" s="7" t="n"/>
      <c r="D23" s="7" t="n"/>
      <c r="E23" s="7" t="n"/>
    </row>
    <row r="24">
      <c r="A24" s="16" t="inlineStr">
        <is>
          <t>Capital Component</t>
        </is>
      </c>
      <c r="B24" s="17" t="inlineStr">
        <is>
          <t>Weight (% EV)</t>
        </is>
      </c>
      <c r="C24" s="17" t="inlineStr">
        <is>
          <t>Component Cost</t>
        </is>
      </c>
      <c r="D24" s="17" t="inlineStr">
        <is>
          <t>WACC Contribution</t>
        </is>
      </c>
      <c r="E24" s="16" t="inlineStr">
        <is>
          <t>Analytical Rationale</t>
        </is>
      </c>
    </row>
    <row r="25">
      <c r="A25" s="8" t="inlineStr">
        <is>
          <t>Common Equity</t>
        </is>
      </c>
      <c r="B25" s="56">
        <f>B17/B21</f>
        <v/>
      </c>
      <c r="C25" s="53">
        <f>B8</f>
        <v/>
      </c>
      <c r="D25" s="53">
        <f>B25*C25</f>
        <v/>
      </c>
      <c r="E25" s="20" t="inlineStr">
        <is>
          <t>Equity market weight (~108.2% of EV due to substantial net cash balance)</t>
        </is>
      </c>
    </row>
    <row r="26">
      <c r="A26" s="8" t="inlineStr">
        <is>
          <t>Net Debt / (Net Cash)</t>
        </is>
      </c>
      <c r="B26" s="56">
        <f>B20/B21</f>
        <v/>
      </c>
      <c r="C26" s="53">
        <f>B14</f>
        <v/>
      </c>
      <c r="D26" s="53">
        <f>B26*C26</f>
        <v/>
      </c>
      <c r="E26" s="20" t="inlineStr">
        <is>
          <t>Net cash position (-8.2% of EV) offsets financing burden</t>
        </is>
      </c>
    </row>
    <row r="27">
      <c r="A27" s="57" t="inlineStr">
        <is>
          <t>Weighted Average Cost of Capital (WACC)</t>
        </is>
      </c>
      <c r="B27" s="58">
        <f>SUM(B25:B26)</f>
        <v/>
      </c>
      <c r="C27" s="59" t="inlineStr">
        <is>
          <t>-</t>
        </is>
      </c>
      <c r="D27" s="60">
        <f>SUM(D25:D26)</f>
        <v/>
      </c>
      <c r="E27" s="61" t="inlineStr">
        <is>
          <t>Baseline market-implied discount rate (Normalized WACC benchmark = 8.75%)</t>
        </is>
      </c>
    </row>
  </sheetData>
  <mergeCells count="3">
    <mergeCell ref="A10:E10"/>
    <mergeCell ref="A4:E4"/>
    <mergeCell ref="A23:E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2026-08-20T08:30:16Z</dcterms:created>
  <dcterms:modified xmlns:dcterms="http://purl.org/dc/terms/" xmlns:xsi="http://www.w3.org/2001/XMLSchema-instance" xsi:type="dcterms:W3CDTF">2026-08-20T08:30:16Z</dcterms:modified>
</cp:coreProperties>
</file>