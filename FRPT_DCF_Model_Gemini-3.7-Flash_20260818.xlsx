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"/>
    <numFmt numFmtId="166" formatCode="($#,##0.00);($#,##0.00);$0.00"/>
    <numFmt numFmtId="167" formatCode="0.0"/>
    <numFmt numFmtId="168" formatCode="0.0000"/>
    <numFmt numFmtId="169" formatCode="+0.0%;-0.0%;0.0%"/>
    <numFmt numFmtId="170" formatCode="$#,##0.00;($#,##0.00);$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0"/>
    </font>
    <font>
      <name val="Calibri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7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165" fontId="3" fillId="0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7" fillId="4" borderId="3" pivotButton="0" quotePrefix="0" xfId="0"/>
    <xf numFmtId="0" fontId="0" fillId="4" borderId="3" applyAlignment="1" pivotButton="0" quotePrefix="0" xfId="0">
      <alignment horizontal="center" vertical="center"/>
    </xf>
    <xf numFmtId="164" fontId="7" fillId="4" borderId="3" applyAlignment="1" pivotButton="0" quotePrefix="0" xfId="0">
      <alignment horizontal="right" vertical="center"/>
    </xf>
    <xf numFmtId="167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0" fontId="3" fillId="3" borderId="3" pivotButton="0" quotePrefix="0" xfId="0"/>
    <xf numFmtId="164" fontId="3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3" fillId="4" borderId="1" applyAlignment="1" pivotButton="0" quotePrefix="0" xfId="0">
      <alignment horizontal="right" vertical="center"/>
    </xf>
    <xf numFmtId="169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5" fontId="3" fillId="3" borderId="2" applyAlignment="1" pivotButton="0" quotePrefix="0" xfId="0">
      <alignment horizontal="center" vertical="center"/>
    </xf>
    <xf numFmtId="165" fontId="3" fillId="4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170" fontId="3" fillId="4" borderId="1" applyAlignment="1" pivotButton="0" quotePrefix="0" xfId="0">
      <alignment horizontal="right" vertical="center"/>
    </xf>
    <xf numFmtId="169" fontId="3" fillId="3" borderId="2" applyAlignment="1" pivotButton="0" quotePrefix="0" xfId="0">
      <alignment horizontal="center" vertical="center"/>
    </xf>
    <xf numFmtId="169" fontId="3" fillId="4" borderId="2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10" fontId="3" fillId="4" borderId="2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Model Builder</author>
    <author>Freshpet 10-K / Market Data</author>
    <author>WACC Build</author>
    <author>SEC Form 10-K</author>
  </authors>
  <commentList>
    <comment ref="B4" authorId="0" shapeId="0">
      <text>
        <t>Case Selector: 1 = Bear Case, 2 = Base Case, 3 = Bull Case</t>
      </text>
    </comment>
    <comment ref="B7" authorId="1" shapeId="0">
      <text>
        <t>Market close price as of August 2026</t>
      </text>
    </comment>
    <comment ref="B8" authorId="1" shapeId="0">
      <text>
        <t>SEC Form 10-K FY2025 Diluted share count (56.04M shares)</t>
      </text>
    </comment>
    <comment ref="B10" authorId="1" shapeId="0">
      <text>
        <t>SEC Form 10-K Balance sheet as of Dec 31, 2025</t>
      </text>
    </comment>
    <comment ref="B11" authorId="1" shapeId="0">
      <text>
        <t>SEC Form 10-K Balance sheet (Convertible senior notes)</t>
      </text>
    </comment>
    <comment ref="B14" authorId="1" shapeId="0">
      <text>
        <t>US Federal &amp; State statutory corporate tax rate</t>
      </text>
    </comment>
    <comment ref="B15" authorId="1" shapeId="0">
      <text>
        <t>10-Year US Treasury Benchmark Yield</t>
      </text>
    </comment>
    <comment ref="B16" authorId="1" shapeId="0">
      <text>
        <t>5-Year Monthly Beta vs S&amp;P 500</t>
      </text>
    </comment>
    <comment ref="B17" authorId="1" shapeId="0">
      <text>
        <t>Standard institutional market risk premium</t>
      </text>
    </comment>
    <comment ref="B18" authorId="1" shapeId="0">
      <text>
        <t>Estimated weighted average coupon on convertible notes</t>
      </text>
    </comment>
    <comment ref="B49" authorId="2" shapeId="0">
      <text>
        <t>Row 15: 10-Yr US Treasury Yield</t>
      </text>
    </comment>
    <comment ref="B50" authorId="2" shapeId="0">
      <text>
        <t>Row 16: 5-Year Monthly Beta</t>
      </text>
    </comment>
    <comment ref="B51" authorId="2" shapeId="0">
      <text>
        <t>Row 17: Market Risk Premium</t>
      </text>
    </comment>
    <comment ref="B52" authorId="2" shapeId="0">
      <text>
        <t>CAPM Formula: Cost of Equity</t>
      </text>
    </comment>
    <comment ref="B53" authorId="2" shapeId="0">
      <text>
        <t>Row 18: Weighted average borrowing cost</t>
      </text>
    </comment>
    <comment ref="B54" authorId="2" shapeId="0">
      <text>
        <t>Row 14: Corporate tax rate</t>
      </text>
    </comment>
    <comment ref="B55" authorId="2" shapeId="0">
      <text>
        <t>Effective after-tax cost of debt</t>
      </text>
    </comment>
    <comment ref="B56" authorId="2" shapeId="0">
      <text>
        <t>Row 9: Diluted Market Cap</t>
      </text>
    </comment>
    <comment ref="B57" authorId="2" shapeId="0">
      <text>
        <t>Row 12: Total Debt - Cash</t>
      </text>
    </comment>
    <comment ref="B58" authorId="2" shapeId="0">
      <text>
        <t>Row 13: Market Cap + Net Debt</t>
      </text>
    </comment>
    <comment ref="B59" authorId="2" shapeId="0">
      <text>
        <t>Equity Value / Enterprise Value</t>
      </text>
    </comment>
    <comment ref="B60" authorId="2" shapeId="0">
      <text>
        <t>Net Debt / Enterprise Value</t>
      </text>
    </comment>
    <comment ref="B61" authorId="2" shapeId="0">
      <text>
        <t>Weighted Average Cost of Capital</t>
      </text>
    </comment>
    <comment ref="B65" authorId="3" shapeId="0">
      <text>
        <t>FY2025 Actual Net Sales YoY Growth (+13.0%)</t>
      </text>
    </comment>
    <comment ref="B66" authorId="3" shapeId="0">
      <text>
        <t>FY2025 Actual Net Sales ($1,102.0M)</t>
      </text>
    </comment>
    <comment ref="B68" authorId="3" shapeId="0">
      <text>
        <t>FY2025 Actual Operating Income ($75.7M)</t>
      </text>
    </comment>
    <comment ref="B71" authorId="3" shapeId="0">
      <text>
        <t>FY2025 Actual D&amp;A ($89.7M)</t>
      </text>
    </comment>
    <comment ref="B72" authorId="3" shapeId="0">
      <text>
        <t>FY2025 Actual CapEx ($148.2M)</t>
      </text>
    </comment>
    <comment ref="B73" authorId="3" shapeId="0">
      <text>
        <t>FY2025 Actual Working Capital change ($4.5M)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1" t="inlineStr">
        <is>
          <t>Freshpet, Inc. (NASDAQ: FRPT)</t>
        </is>
      </c>
    </row>
    <row r="2">
      <c r="A2" s="2" t="inlineStr">
        <is>
          <t>Institutional DCF Valuation Model | Report Date: August 18, 2026 | Financial Source: SEC Form 10-K &amp; Company Disclosures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CASE",IF(B4=2,"[2] BASE CASE (Active)","[3] BULL CASE"))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72.76000000000001</v>
      </c>
    </row>
    <row r="8">
      <c r="A8" s="8" t="inlineStr">
        <is>
          <t>Diluted Shares Outstanding (M)</t>
        </is>
      </c>
      <c r="B8" s="10" t="n">
        <v>56.04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278</v>
      </c>
    </row>
    <row r="11">
      <c r="A11" s="8" t="inlineStr">
        <is>
          <t>Total Debt ($M)</t>
        </is>
      </c>
      <c r="B11" s="9" t="n">
        <v>397.3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0.21</v>
      </c>
    </row>
    <row r="15">
      <c r="A15" s="8" t="inlineStr">
        <is>
          <t>Risk-Free Rate (10-Yr US Treasury) (%)</t>
        </is>
      </c>
      <c r="B15" s="14" t="n">
        <v>0.0425</v>
      </c>
    </row>
    <row r="16">
      <c r="A16" s="8" t="inlineStr">
        <is>
          <t>Equity Beta (5-Year Monthly)</t>
        </is>
      </c>
      <c r="B16" s="15" t="n">
        <v>1.35</v>
      </c>
    </row>
    <row r="17">
      <c r="A17" s="8" t="inlineStr">
        <is>
          <t>Market Equity Risk Premium (ERP) (%)</t>
        </is>
      </c>
      <c r="B17" s="14" t="n">
        <v>0.055</v>
      </c>
    </row>
    <row r="18">
      <c r="A18" s="8" t="inlineStr">
        <is>
          <t>Pre-Tax Cost of Debt (%)</t>
        </is>
      </c>
      <c r="B18" s="14" t="n">
        <v>0.045</v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—</t>
        </is>
      </c>
      <c r="C23" s="13" t="n">
        <v>0.09</v>
      </c>
      <c r="D23" s="13" t="n">
        <v>0.075</v>
      </c>
      <c r="E23" s="13" t="n">
        <v>0.06</v>
      </c>
      <c r="F23" s="13" t="n">
        <v>0.05</v>
      </c>
      <c r="G23" s="13" t="n">
        <v>0.04</v>
      </c>
      <c r="H23" s="13" t="n">
        <v>0.02</v>
      </c>
    </row>
    <row r="24">
      <c r="A24" s="8" t="inlineStr">
        <is>
          <t xml:space="preserve">  EBIT Margin (%)</t>
        </is>
      </c>
      <c r="B24" s="20" t="inlineStr">
        <is>
          <t>—</t>
        </is>
      </c>
      <c r="C24" s="13" t="n">
        <v>0.075</v>
      </c>
      <c r="D24" s="13" t="n">
        <v>0.08500000000000001</v>
      </c>
      <c r="E24" s="13" t="n">
        <v>0.09</v>
      </c>
      <c r="F24" s="13" t="n">
        <v>0.095</v>
      </c>
      <c r="G24" s="13" t="n">
        <v>0.1</v>
      </c>
      <c r="H24" s="13" t="n">
        <v>0.115</v>
      </c>
    </row>
    <row r="25">
      <c r="A25" s="8" t="inlineStr">
        <is>
          <t xml:space="preserve">  D&amp;A (% of Revenue)</t>
        </is>
      </c>
      <c r="B25" s="20" t="inlineStr">
        <is>
          <t>—</t>
        </is>
      </c>
      <c r="C25" s="13" t="n">
        <v>0.08</v>
      </c>
      <c r="D25" s="13" t="n">
        <v>0.075</v>
      </c>
      <c r="E25" s="13" t="n">
        <v>0.07000000000000001</v>
      </c>
      <c r="F25" s="13" t="n">
        <v>0.065</v>
      </c>
      <c r="G25" s="13" t="n">
        <v>0.06</v>
      </c>
      <c r="H25" s="21" t="inlineStr"/>
    </row>
    <row r="26">
      <c r="A26" s="8" t="inlineStr">
        <is>
          <t xml:space="preserve">  CapEx (% of Revenue)</t>
        </is>
      </c>
      <c r="B26" s="20" t="inlineStr">
        <is>
          <t>—</t>
        </is>
      </c>
      <c r="C26" s="13" t="n">
        <v>0.12</v>
      </c>
      <c r="D26" s="13" t="n">
        <v>0.1</v>
      </c>
      <c r="E26" s="13" t="n">
        <v>0.08</v>
      </c>
      <c r="F26" s="13" t="n">
        <v>0.06</v>
      </c>
      <c r="G26" s="13" t="n">
        <v>0.05</v>
      </c>
      <c r="H26" s="21" t="inlineStr"/>
    </row>
    <row r="27">
      <c r="A27" s="8" t="inlineStr">
        <is>
          <t xml:space="preserve">  Δ NWC (% of Δ Revenue)</t>
        </is>
      </c>
      <c r="B27" s="20" t="inlineStr">
        <is>
          <t>—</t>
        </is>
      </c>
      <c r="C27" s="13" t="n">
        <v>0.02</v>
      </c>
      <c r="D27" s="13" t="n">
        <v>0.02</v>
      </c>
      <c r="E27" s="13" t="n">
        <v>0.02</v>
      </c>
      <c r="F27" s="13" t="n">
        <v>0.02</v>
      </c>
      <c r="G27" s="13" t="n">
        <v>0.02</v>
      </c>
      <c r="H27" s="21" t="inlineStr"/>
    </row>
    <row r="28">
      <c r="A28" s="18" t="inlineStr">
        <is>
          <t>Base Case Assumptions (Selector = 2)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8" t="inlineStr">
        <is>
          <t xml:space="preserve">  Revenue Growth (%)</t>
        </is>
      </c>
      <c r="B29" s="20" t="inlineStr">
        <is>
          <t>—</t>
        </is>
      </c>
      <c r="C29" s="13" t="n">
        <v>0.12</v>
      </c>
      <c r="D29" s="13" t="n">
        <v>0.11</v>
      </c>
      <c r="E29" s="13" t="n">
        <v>0.095</v>
      </c>
      <c r="F29" s="13" t="n">
        <v>0.08</v>
      </c>
      <c r="G29" s="13" t="n">
        <v>0.065</v>
      </c>
      <c r="H29" s="13" t="n">
        <v>0.025</v>
      </c>
    </row>
    <row r="30">
      <c r="A30" s="8" t="inlineStr">
        <is>
          <t xml:space="preserve">  EBIT Margin (%)</t>
        </is>
      </c>
      <c r="B30" s="20" t="inlineStr">
        <is>
          <t>—</t>
        </is>
      </c>
      <c r="C30" s="13" t="n">
        <v>0.08500000000000001</v>
      </c>
      <c r="D30" s="13" t="n">
        <v>0.1</v>
      </c>
      <c r="E30" s="13" t="n">
        <v>0.115</v>
      </c>
      <c r="F30" s="13" t="n">
        <v>0.125</v>
      </c>
      <c r="G30" s="13" t="n">
        <v>0.135</v>
      </c>
      <c r="H30" s="13" t="n">
        <v>0.115</v>
      </c>
    </row>
    <row r="31">
      <c r="A31" s="8" t="inlineStr">
        <is>
          <t xml:space="preserve">  D&amp;A (% of Revenue)</t>
        </is>
      </c>
      <c r="B31" s="20" t="inlineStr">
        <is>
          <t>—</t>
        </is>
      </c>
      <c r="C31" s="13" t="n">
        <v>0.08</v>
      </c>
      <c r="D31" s="13" t="n">
        <v>0.075</v>
      </c>
      <c r="E31" s="13" t="n">
        <v>0.07000000000000001</v>
      </c>
      <c r="F31" s="13" t="n">
        <v>0.065</v>
      </c>
      <c r="G31" s="13" t="n">
        <v>0.06</v>
      </c>
      <c r="H31" s="21" t="inlineStr"/>
    </row>
    <row r="32">
      <c r="A32" s="8" t="inlineStr">
        <is>
          <t xml:space="preserve">  CapEx (% of Revenue)</t>
        </is>
      </c>
      <c r="B32" s="20" t="inlineStr">
        <is>
          <t>—</t>
        </is>
      </c>
      <c r="C32" s="13" t="n">
        <v>0.12</v>
      </c>
      <c r="D32" s="13" t="n">
        <v>0.1</v>
      </c>
      <c r="E32" s="13" t="n">
        <v>0.08</v>
      </c>
      <c r="F32" s="13" t="n">
        <v>0.06</v>
      </c>
      <c r="G32" s="13" t="n">
        <v>0.05</v>
      </c>
      <c r="H32" s="21" t="inlineStr"/>
    </row>
    <row r="33">
      <c r="A33" s="8" t="inlineStr">
        <is>
          <t xml:space="preserve">  Δ NWC (% of Δ Revenue)</t>
        </is>
      </c>
      <c r="B33" s="20" t="inlineStr">
        <is>
          <t>—</t>
        </is>
      </c>
      <c r="C33" s="13" t="n">
        <v>0.02</v>
      </c>
      <c r="D33" s="13" t="n">
        <v>0.02</v>
      </c>
      <c r="E33" s="13" t="n">
        <v>0.02</v>
      </c>
      <c r="F33" s="13" t="n">
        <v>0.02</v>
      </c>
      <c r="G33" s="13" t="n">
        <v>0.02</v>
      </c>
      <c r="H33" s="21" t="inlineStr"/>
    </row>
    <row r="34">
      <c r="A34" s="18" t="inlineStr">
        <is>
          <t>Bull Case Assumptions (Selector = 3)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8" t="inlineStr">
        <is>
          <t xml:space="preserve">  Revenue Growth (%)</t>
        </is>
      </c>
      <c r="B35" s="20" t="inlineStr">
        <is>
          <t>—</t>
        </is>
      </c>
      <c r="C35" s="13" t="n">
        <v>0.15</v>
      </c>
      <c r="D35" s="13" t="n">
        <v>0.14</v>
      </c>
      <c r="E35" s="13" t="n">
        <v>0.125</v>
      </c>
      <c r="F35" s="13" t="n">
        <v>0.11</v>
      </c>
      <c r="G35" s="13" t="n">
        <v>0.09</v>
      </c>
      <c r="H35" s="13" t="n">
        <v>0.03</v>
      </c>
    </row>
    <row r="36">
      <c r="A36" s="8" t="inlineStr">
        <is>
          <t xml:space="preserve">  EBIT Margin (%)</t>
        </is>
      </c>
      <c r="B36" s="20" t="inlineStr">
        <is>
          <t>—</t>
        </is>
      </c>
      <c r="C36" s="13" t="n">
        <v>0.095</v>
      </c>
      <c r="D36" s="13" t="n">
        <v>0.115</v>
      </c>
      <c r="E36" s="13" t="n">
        <v>0.135</v>
      </c>
      <c r="F36" s="13" t="n">
        <v>0.15</v>
      </c>
      <c r="G36" s="13" t="n">
        <v>0.16</v>
      </c>
      <c r="H36" s="13" t="n">
        <v>0.115</v>
      </c>
    </row>
    <row r="37">
      <c r="A37" s="8" t="inlineStr">
        <is>
          <t xml:space="preserve">  D&amp;A (% of Revenue)</t>
        </is>
      </c>
      <c r="B37" s="20" t="inlineStr">
        <is>
          <t>—</t>
        </is>
      </c>
      <c r="C37" s="13" t="n">
        <v>0.08</v>
      </c>
      <c r="D37" s="13" t="n">
        <v>0.075</v>
      </c>
      <c r="E37" s="13" t="n">
        <v>0.07000000000000001</v>
      </c>
      <c r="F37" s="13" t="n">
        <v>0.065</v>
      </c>
      <c r="G37" s="13" t="n">
        <v>0.06</v>
      </c>
      <c r="H37" s="21" t="inlineStr"/>
    </row>
    <row r="38">
      <c r="A38" s="8" t="inlineStr">
        <is>
          <t xml:space="preserve">  CapEx (% of Revenue)</t>
        </is>
      </c>
      <c r="B38" s="20" t="inlineStr">
        <is>
          <t>—</t>
        </is>
      </c>
      <c r="C38" s="13" t="n">
        <v>0.12</v>
      </c>
      <c r="D38" s="13" t="n">
        <v>0.1</v>
      </c>
      <c r="E38" s="13" t="n">
        <v>0.08</v>
      </c>
      <c r="F38" s="13" t="n">
        <v>0.06</v>
      </c>
      <c r="G38" s="13" t="n">
        <v>0.05</v>
      </c>
      <c r="H38" s="21" t="inlineStr"/>
    </row>
    <row r="39">
      <c r="A39" s="8" t="inlineStr">
        <is>
          <t xml:space="preserve">  Δ NWC (% of Δ Revenue)</t>
        </is>
      </c>
      <c r="B39" s="20" t="inlineStr">
        <is>
          <t>—</t>
        </is>
      </c>
      <c r="C39" s="13" t="n">
        <v>0.02</v>
      </c>
      <c r="D39" s="13" t="n">
        <v>0.02</v>
      </c>
      <c r="E39" s="13" t="n">
        <v>0.02</v>
      </c>
      <c r="F39" s="13" t="n">
        <v>0.02</v>
      </c>
      <c r="G39" s="13" t="n">
        <v>0.02</v>
      </c>
      <c r="H39" s="21" t="inlineStr"/>
    </row>
    <row r="40">
      <c r="A40" s="22" t="inlineStr">
        <is>
          <t>Active Scenario Consolidated Drivers (Dynamic)</t>
        </is>
      </c>
      <c r="B40" s="23" t="n"/>
      <c r="C40" s="23" t="n"/>
      <c r="D40" s="23" t="n"/>
      <c r="E40" s="23" t="n"/>
      <c r="F40" s="23" t="n"/>
      <c r="G40" s="23" t="n"/>
      <c r="H40" s="23" t="n"/>
    </row>
    <row r="41">
      <c r="A41" s="11" t="inlineStr">
        <is>
          <t xml:space="preserve">  Active Revenue Growth (%)</t>
        </is>
      </c>
      <c r="B41" s="20" t="inlineStr">
        <is>
          <t>—</t>
        </is>
      </c>
      <c r="C41" s="24">
        <f>CHOOSE($B$4, C23, C29, C35)</f>
        <v/>
      </c>
      <c r="D41" s="24">
        <f>CHOOSE($B$4, D23, D29, D35)</f>
        <v/>
      </c>
      <c r="E41" s="24">
        <f>CHOOSE($B$4, E23, E29, E35)</f>
        <v/>
      </c>
      <c r="F41" s="24">
        <f>CHOOSE($B$4, F23, F29, F35)</f>
        <v/>
      </c>
      <c r="G41" s="24">
        <f>CHOOSE($B$4, G23, G29, G35)</f>
        <v/>
      </c>
      <c r="H41" s="24">
        <f>CHOOSE($B$4, H23, H29, H35)</f>
        <v/>
      </c>
    </row>
    <row r="42">
      <c r="A42" s="11" t="inlineStr">
        <is>
          <t xml:space="preserve">  Active EBIT Margin (%)</t>
        </is>
      </c>
      <c r="B42" s="20" t="inlineStr">
        <is>
          <t>—</t>
        </is>
      </c>
      <c r="C42" s="24">
        <f>CHOOSE($B$4, C24, C30, C36)</f>
        <v/>
      </c>
      <c r="D42" s="24">
        <f>CHOOSE($B$4, D24, D30, D36)</f>
        <v/>
      </c>
      <c r="E42" s="24">
        <f>CHOOSE($B$4, E24, E30, E36)</f>
        <v/>
      </c>
      <c r="F42" s="24">
        <f>CHOOSE($B$4, F24, F30, F36)</f>
        <v/>
      </c>
      <c r="G42" s="24">
        <f>CHOOSE($B$4, G24, G30, G36)</f>
        <v/>
      </c>
      <c r="H42" s="24">
        <f>CHOOSE($B$4, H24, H30, H36)</f>
        <v/>
      </c>
    </row>
    <row r="43">
      <c r="A43" s="11" t="inlineStr">
        <is>
          <t xml:space="preserve">  Active D&amp;A (% of Revenue)</t>
        </is>
      </c>
      <c r="B43" s="20" t="inlineStr">
        <is>
          <t>—</t>
        </is>
      </c>
      <c r="C43" s="24">
        <f>CHOOSE($B$4, C25, C31, C37)</f>
        <v/>
      </c>
      <c r="D43" s="24">
        <f>CHOOSE($B$4, D25, D31, D37)</f>
        <v/>
      </c>
      <c r="E43" s="24">
        <f>CHOOSE($B$4, E25, E31, E37)</f>
        <v/>
      </c>
      <c r="F43" s="24">
        <f>CHOOSE($B$4, F25, F31, F37)</f>
        <v/>
      </c>
      <c r="G43" s="24">
        <f>CHOOSE($B$4, G25, G31, G37)</f>
        <v/>
      </c>
      <c r="H43" s="21" t="inlineStr"/>
    </row>
    <row r="44">
      <c r="A44" s="11" t="inlineStr">
        <is>
          <t xml:space="preserve">  Active CapEx (% of Revenue)</t>
        </is>
      </c>
      <c r="B44" s="20" t="inlineStr">
        <is>
          <t>—</t>
        </is>
      </c>
      <c r="C44" s="24">
        <f>CHOOSE($B$4, C26, C32, C38)</f>
        <v/>
      </c>
      <c r="D44" s="24">
        <f>CHOOSE($B$4, D26, D32, D38)</f>
        <v/>
      </c>
      <c r="E44" s="24">
        <f>CHOOSE($B$4, E26, E32, E38)</f>
        <v/>
      </c>
      <c r="F44" s="24">
        <f>CHOOSE($B$4, F26, F32, F38)</f>
        <v/>
      </c>
      <c r="G44" s="24">
        <f>CHOOSE($B$4, G26, G32, G38)</f>
        <v/>
      </c>
      <c r="H44" s="21" t="inlineStr"/>
    </row>
    <row r="45">
      <c r="A45" s="11" t="inlineStr">
        <is>
          <t xml:space="preserve">  Active Δ NWC (% of Δ Rev)</t>
        </is>
      </c>
      <c r="B45" s="20" t="inlineStr">
        <is>
          <t>—</t>
        </is>
      </c>
      <c r="C45" s="24">
        <f>CHOOSE($B$4, C27, C33, C39)</f>
        <v/>
      </c>
      <c r="D45" s="24">
        <f>CHOOSE($B$4, D27, D33, D39)</f>
        <v/>
      </c>
      <c r="E45" s="24">
        <f>CHOOSE($B$4, E27, E33, E39)</f>
        <v/>
      </c>
      <c r="F45" s="24">
        <f>CHOOSE($B$4, F27, F33, F39)</f>
        <v/>
      </c>
      <c r="G45" s="24">
        <f>CHOOSE($B$4, G27, G33, G39)</f>
        <v/>
      </c>
      <c r="H45" s="21" t="inlineStr"/>
    </row>
    <row r="48">
      <c r="A48" s="6" t="inlineStr">
        <is>
          <t>III. COST OF CAPITAL (WACC) PARAMETERS &amp; SCHEDULE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8" t="inlineStr">
        <is>
          <t>Risk-Free Rate (Rf)</t>
        </is>
      </c>
      <c r="B49" s="14">
        <f>$B$15</f>
        <v/>
      </c>
    </row>
    <row r="50">
      <c r="A50" s="8" t="inlineStr">
        <is>
          <t>Equity Beta (β)</t>
        </is>
      </c>
      <c r="B50" s="15">
        <f>$B$16</f>
        <v/>
      </c>
    </row>
    <row r="51">
      <c r="A51" s="8" t="inlineStr">
        <is>
          <t>Equity Risk Premium (ERP)</t>
        </is>
      </c>
      <c r="B51" s="14">
        <f>$B$17</f>
        <v/>
      </c>
    </row>
    <row r="52">
      <c r="A52" s="22" t="inlineStr">
        <is>
          <t>Cost of Equity (Ke) [Rf + β * ERP]</t>
        </is>
      </c>
      <c r="B52" s="25">
        <f>B49+B50*B51</f>
        <v/>
      </c>
    </row>
    <row r="53">
      <c r="A53" s="8" t="inlineStr">
        <is>
          <t>Pre-Tax Cost of Debt (Kd)</t>
        </is>
      </c>
      <c r="B53" s="14">
        <f>$B$18</f>
        <v/>
      </c>
    </row>
    <row r="54">
      <c r="A54" s="8" t="inlineStr">
        <is>
          <t>Effective Corporate Tax Rate (t)</t>
        </is>
      </c>
      <c r="B54" s="13">
        <f>$B$14</f>
        <v/>
      </c>
    </row>
    <row r="55">
      <c r="A55" s="8" t="inlineStr">
        <is>
          <t>After-Tax Cost of Debt [Kd * (1 - t)]</t>
        </is>
      </c>
      <c r="B55" s="14">
        <f>B53*(1-B54)</f>
        <v/>
      </c>
    </row>
    <row r="56">
      <c r="A56" s="8" t="inlineStr">
        <is>
          <t>Market Capitalization (Equity Value) ($M)</t>
        </is>
      </c>
      <c r="B56" s="9">
        <f>$B$9</f>
        <v/>
      </c>
    </row>
    <row r="57">
      <c r="A57" s="8" t="inlineStr">
        <is>
          <t>Net Debt ($M)</t>
        </is>
      </c>
      <c r="B57" s="9">
        <f>$B$12</f>
        <v/>
      </c>
    </row>
    <row r="58">
      <c r="A58" s="8" t="inlineStr">
        <is>
          <t>Enterprise Value (EV) ($M)</t>
        </is>
      </c>
      <c r="B58" s="9">
        <f>$B$13</f>
        <v/>
      </c>
    </row>
    <row r="59">
      <c r="A59" s="8" t="inlineStr">
        <is>
          <t>Weight of Equity (We)</t>
        </is>
      </c>
      <c r="B59" s="13">
        <f>B56/B58</f>
        <v/>
      </c>
    </row>
    <row r="60">
      <c r="A60" s="8" t="inlineStr">
        <is>
          <t>Weight of Debt (Wd)</t>
        </is>
      </c>
      <c r="B60" s="13">
        <f>B57/B58</f>
        <v/>
      </c>
    </row>
    <row r="61">
      <c r="A61" s="22" t="inlineStr">
        <is>
          <t>Calculated WACC [(Ke * We) + (Kd_after * Wd)]</t>
        </is>
      </c>
      <c r="B61" s="25">
        <f>(B52*B59)+(B55*B60)</f>
        <v/>
      </c>
    </row>
    <row r="63">
      <c r="A63" s="6" t="inlineStr">
        <is>
          <t>IV. UNLEVERED FREE CASH FLOW (UFCF) PROJECTIONS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16" t="inlineStr">
        <is>
          <t>Line Item ($M)</t>
        </is>
      </c>
      <c r="B64" s="17" t="inlineStr">
        <is>
          <t>FY2025A</t>
        </is>
      </c>
      <c r="C64" s="17" t="inlineStr">
        <is>
          <t>FY2026E</t>
        </is>
      </c>
      <c r="D64" s="17" t="inlineStr">
        <is>
          <t>FY2027E</t>
        </is>
      </c>
      <c r="E64" s="17" t="inlineStr">
        <is>
          <t>FY2028E</t>
        </is>
      </c>
      <c r="F64" s="17" t="inlineStr">
        <is>
          <t>FY2029E</t>
        </is>
      </c>
      <c r="G64" s="17" t="inlineStr">
        <is>
          <t>FY2030E</t>
        </is>
      </c>
    </row>
    <row r="65">
      <c r="A65" s="8" t="inlineStr">
        <is>
          <t>Revenue Growth Rate (%)</t>
        </is>
      </c>
      <c r="B65" s="13" t="n">
        <v>0.13</v>
      </c>
      <c r="C65" s="13">
        <f>C41</f>
        <v/>
      </c>
      <c r="D65" s="13">
        <f>D41</f>
        <v/>
      </c>
      <c r="E65" s="13">
        <f>E41</f>
        <v/>
      </c>
      <c r="F65" s="13">
        <f>F41</f>
        <v/>
      </c>
      <c r="G65" s="13">
        <f>G41</f>
        <v/>
      </c>
    </row>
    <row r="66">
      <c r="A66" s="11" t="inlineStr">
        <is>
          <t>Net Sales (Revenue) ($M)</t>
        </is>
      </c>
      <c r="B66" s="12" t="n">
        <v>1102</v>
      </c>
      <c r="C66" s="12">
        <f>B66*(1+C65)</f>
        <v/>
      </c>
      <c r="D66" s="12">
        <f>C66*(1+D65)</f>
        <v/>
      </c>
      <c r="E66" s="12">
        <f>D66*(1+E65)</f>
        <v/>
      </c>
      <c r="F66" s="12">
        <f>E66*(1+F65)</f>
        <v/>
      </c>
      <c r="G66" s="12">
        <f>F66*(1+G65)</f>
        <v/>
      </c>
    </row>
    <row r="67">
      <c r="A67" s="8" t="inlineStr">
        <is>
          <t>EBIT Margin (%)</t>
        </is>
      </c>
      <c r="B67" s="13">
        <f>B68/B66</f>
        <v/>
      </c>
      <c r="C67" s="13">
        <f>C42</f>
        <v/>
      </c>
      <c r="D67" s="13">
        <f>D42</f>
        <v/>
      </c>
      <c r="E67" s="13">
        <f>E42</f>
        <v/>
      </c>
      <c r="F67" s="13">
        <f>F42</f>
        <v/>
      </c>
      <c r="G67" s="13">
        <f>G42</f>
        <v/>
      </c>
    </row>
    <row r="68">
      <c r="A68" s="11" t="inlineStr">
        <is>
          <t>Operating Income (EBIT) ($M)</t>
        </is>
      </c>
      <c r="B68" s="12" t="n">
        <v>75.7</v>
      </c>
      <c r="C68" s="12">
        <f>C66*C67</f>
        <v/>
      </c>
      <c r="D68" s="12">
        <f>D66*D67</f>
        <v/>
      </c>
      <c r="E68" s="12">
        <f>E66*E67</f>
        <v/>
      </c>
      <c r="F68" s="12">
        <f>F66*F67</f>
        <v/>
      </c>
      <c r="G68" s="12">
        <f>G66*G67</f>
        <v/>
      </c>
    </row>
    <row r="69">
      <c r="A69" s="8" t="inlineStr">
        <is>
          <t>(-) Provision for Taxes ($M)</t>
        </is>
      </c>
      <c r="B69" s="20" t="inlineStr">
        <is>
          <t>—</t>
        </is>
      </c>
      <c r="C69" s="26">
        <f>C68*$B$14</f>
        <v/>
      </c>
      <c r="D69" s="26">
        <f>D68*$B$14</f>
        <v/>
      </c>
      <c r="E69" s="26">
        <f>E68*$B$14</f>
        <v/>
      </c>
      <c r="F69" s="26">
        <f>F68*$B$14</f>
        <v/>
      </c>
      <c r="G69" s="26">
        <f>G68*$B$14</f>
        <v/>
      </c>
    </row>
    <row r="70">
      <c r="A70" s="11" t="inlineStr">
        <is>
          <t>Net Operating Profit After Tax (NOPAT) ($M)</t>
        </is>
      </c>
      <c r="B70" s="20" t="inlineStr">
        <is>
          <t>—</t>
        </is>
      </c>
      <c r="C70" s="12">
        <f>C68-C69</f>
        <v/>
      </c>
      <c r="D70" s="12">
        <f>D68-D69</f>
        <v/>
      </c>
      <c r="E70" s="12">
        <f>E68-E69</f>
        <v/>
      </c>
      <c r="F70" s="12">
        <f>F68-F69</f>
        <v/>
      </c>
      <c r="G70" s="12">
        <f>G68-G69</f>
        <v/>
      </c>
    </row>
    <row r="71">
      <c r="A71" s="8" t="inlineStr">
        <is>
          <t>(+) Depreciation &amp; Amortization (D&amp;A) ($M)</t>
        </is>
      </c>
      <c r="B71" s="9" t="n">
        <v>89.7</v>
      </c>
      <c r="C71" s="9">
        <f>C66*C43</f>
        <v/>
      </c>
      <c r="D71" s="9">
        <f>D66*D43</f>
        <v/>
      </c>
      <c r="E71" s="9">
        <f>E66*E43</f>
        <v/>
      </c>
      <c r="F71" s="9">
        <f>F66*F43</f>
        <v/>
      </c>
      <c r="G71" s="9">
        <f>G66*G43</f>
        <v/>
      </c>
    </row>
    <row r="72">
      <c r="A72" s="8" t="inlineStr">
        <is>
          <t>(-) Capital Expenditures (CapEx) ($M)</t>
        </is>
      </c>
      <c r="B72" s="26" t="n">
        <v>148.2</v>
      </c>
      <c r="C72" s="26">
        <f>C66*C44</f>
        <v/>
      </c>
      <c r="D72" s="26">
        <f>D66*D44</f>
        <v/>
      </c>
      <c r="E72" s="26">
        <f>E66*E44</f>
        <v/>
      </c>
      <c r="F72" s="26">
        <f>F66*F44</f>
        <v/>
      </c>
      <c r="G72" s="26">
        <f>G66*G44</f>
        <v/>
      </c>
    </row>
    <row r="73">
      <c r="A73" s="8" t="inlineStr">
        <is>
          <t>(-) Change in Net Working Capital (Δ NWC) ($M)</t>
        </is>
      </c>
      <c r="B73" s="26" t="n">
        <v>4.5</v>
      </c>
      <c r="C73" s="26">
        <f>(C66-B66)*C45</f>
        <v/>
      </c>
      <c r="D73" s="26">
        <f>(D66-C66)*D45</f>
        <v/>
      </c>
      <c r="E73" s="26">
        <f>(E66-D66)*E45</f>
        <v/>
      </c>
      <c r="F73" s="26">
        <f>(F66-E66)*F45</f>
        <v/>
      </c>
      <c r="G73" s="26">
        <f>(G66-F66)*G45</f>
        <v/>
      </c>
    </row>
    <row r="74">
      <c r="A74" s="27" t="inlineStr">
        <is>
          <t>Unlevered Free Cash Flow (UFCF) ($M)</t>
        </is>
      </c>
      <c r="B74" s="28" t="inlineStr">
        <is>
          <t>—</t>
        </is>
      </c>
      <c r="C74" s="29">
        <f>C70+C71-C72-C73</f>
        <v/>
      </c>
      <c r="D74" s="29">
        <f>D70+D71-D72-D73</f>
        <v/>
      </c>
      <c r="E74" s="29">
        <f>E70+E71-E72-E73</f>
        <v/>
      </c>
      <c r="F74" s="29">
        <f>F70+F71-F72-F73</f>
        <v/>
      </c>
      <c r="G74" s="29">
        <f>G70+G71-G72-G73</f>
        <v/>
      </c>
    </row>
    <row r="76">
      <c r="A76" s="6" t="inlineStr">
        <is>
          <t>V. DISCOUNTING &amp; PRESENT VALUE (MID-YEAR CONVENTION)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16" t="inlineStr">
        <is>
          <t>Discount Parameters</t>
        </is>
      </c>
      <c r="B77" s="16" t="inlineStr"/>
      <c r="C77" s="17" t="inlineStr">
        <is>
          <t>Year 1 (FY26E)</t>
        </is>
      </c>
      <c r="D77" s="17" t="inlineStr">
        <is>
          <t>Year 2 (FY27E)</t>
        </is>
      </c>
      <c r="E77" s="17" t="inlineStr">
        <is>
          <t>Year 3 (FY28E)</t>
        </is>
      </c>
      <c r="F77" s="17" t="inlineStr">
        <is>
          <t>Year 4 (FY29E)</t>
        </is>
      </c>
      <c r="G77" s="17" t="inlineStr">
        <is>
          <t>Year 5 (FY30E)</t>
        </is>
      </c>
    </row>
    <row r="78">
      <c r="A78" s="8" t="inlineStr">
        <is>
          <t>Discount Period (Years - Mid-Year Convention)</t>
        </is>
      </c>
      <c r="B78" s="21" t="inlineStr"/>
      <c r="C78" s="30" t="n">
        <v>0.5</v>
      </c>
      <c r="D78" s="30" t="n">
        <v>1.5</v>
      </c>
      <c r="E78" s="30" t="n">
        <v>2.5</v>
      </c>
      <c r="F78" s="30" t="n">
        <v>3.5</v>
      </c>
      <c r="G78" s="30" t="n">
        <v>4.5</v>
      </c>
    </row>
    <row r="79">
      <c r="A79" s="8" t="inlineStr">
        <is>
          <t>Discount Factor [ 1 / (1 + WACC)^t ]</t>
        </is>
      </c>
      <c r="B79" s="21" t="inlineStr"/>
      <c r="C79" s="31">
        <f>1/(1+$B$61)^C78</f>
        <v/>
      </c>
      <c r="D79" s="31">
        <f>1/(1+$B$61)^D78</f>
        <v/>
      </c>
      <c r="E79" s="31">
        <f>1/(1+$B$61)^E78</f>
        <v/>
      </c>
      <c r="F79" s="31">
        <f>1/(1+$B$61)^F78</f>
        <v/>
      </c>
      <c r="G79" s="31">
        <f>1/(1+$B$61)^G78</f>
        <v/>
      </c>
    </row>
    <row r="80">
      <c r="A80" s="11" t="inlineStr">
        <is>
          <t>Present Value of UFCF ($M)</t>
        </is>
      </c>
      <c r="B80" s="21" t="inlineStr"/>
      <c r="C80" s="12">
        <f>C74*C79</f>
        <v/>
      </c>
      <c r="D80" s="12">
        <f>D74*D79</f>
        <v/>
      </c>
      <c r="E80" s="12">
        <f>E74*E79</f>
        <v/>
      </c>
      <c r="F80" s="12">
        <f>F74*F79</f>
        <v/>
      </c>
      <c r="G80" s="12">
        <f>G74*G79</f>
        <v/>
      </c>
    </row>
    <row r="81">
      <c r="A81" s="32" t="inlineStr">
        <is>
          <t>Cumulative PV of 5-Year Explicit Cash Flows ($M)</t>
        </is>
      </c>
      <c r="B81" s="33">
        <f>SUM(C80:G80)</f>
        <v/>
      </c>
      <c r="C81" s="34" t="n"/>
      <c r="D81" s="34" t="n"/>
      <c r="E81" s="34" t="n"/>
      <c r="F81" s="34" t="n"/>
      <c r="G81" s="34" t="n"/>
    </row>
    <row r="83">
      <c r="A83" s="6" t="inlineStr">
        <is>
          <t>VI. TERMINAL VALUE &amp; VALUATION SUMMARY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18" t="inlineStr">
        <is>
          <t>Terminal Value Assumptions &amp; Calculation: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8" t="inlineStr">
        <is>
          <t xml:space="preserve">  Final Year Projected UFCF (FY2030E) ($M)</t>
        </is>
      </c>
      <c r="B85" s="9">
        <f>G74</f>
        <v/>
      </c>
    </row>
    <row r="86">
      <c r="A86" s="8" t="inlineStr">
        <is>
          <t xml:space="preserve">  Perpetual Terminal Growth Rate (g)</t>
        </is>
      </c>
      <c r="B86" s="13">
        <f>$H$41</f>
        <v/>
      </c>
    </row>
    <row r="87">
      <c r="A87" s="8" t="inlineStr">
        <is>
          <t xml:space="preserve">  WACC (Discount Rate)</t>
        </is>
      </c>
      <c r="B87" s="14">
        <f>$B$61</f>
        <v/>
      </c>
    </row>
    <row r="88">
      <c r="A88" s="8" t="inlineStr">
        <is>
          <t xml:space="preserve">  Terminal Year Cash Flow ($M)</t>
        </is>
      </c>
      <c r="B88" s="9">
        <f>B85*(1+B86)</f>
        <v/>
      </c>
    </row>
    <row r="89">
      <c r="A89" s="8" t="inlineStr">
        <is>
          <t xml:space="preserve">  Terminal Value at FY2030E ($M)</t>
        </is>
      </c>
      <c r="B89" s="9">
        <f>B88/(B87-B86)</f>
        <v/>
      </c>
    </row>
    <row r="90">
      <c r="A90" s="8" t="inlineStr">
        <is>
          <t xml:space="preserve">  PV of Terminal Value ($M)</t>
        </is>
      </c>
      <c r="B90" s="9">
        <f>B89/(1+B87)^4.5</f>
        <v/>
      </c>
    </row>
    <row r="91">
      <c r="A91" s="8" t="inlineStr">
        <is>
          <t xml:space="preserve">  Terminal Value as % of Enterprise Value</t>
        </is>
      </c>
      <c r="B91" s="13">
        <f>B90/B95</f>
        <v/>
      </c>
    </row>
    <row r="92">
      <c r="A92" s="18" t="inlineStr">
        <is>
          <t>Enterprise Value to Equity Value Bridge ($M):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8" t="inlineStr">
        <is>
          <t xml:space="preserve">  PV of Explicit 5-Year Cash Flows ($M)</t>
        </is>
      </c>
      <c r="B93" s="9">
        <f>B81</f>
        <v/>
      </c>
    </row>
    <row r="94">
      <c r="A94" s="8" t="inlineStr">
        <is>
          <t xml:space="preserve">  (+) PV of Terminal Value ($M)</t>
        </is>
      </c>
      <c r="B94" s="9">
        <f>B90</f>
        <v/>
      </c>
    </row>
    <row r="95">
      <c r="A95" s="22" t="inlineStr">
        <is>
          <t>Enterprise Value (EV) ($M)</t>
        </is>
      </c>
      <c r="B95" s="35">
        <f>B93+B94</f>
        <v/>
      </c>
    </row>
    <row r="96">
      <c r="A96" s="8" t="inlineStr">
        <is>
          <t xml:space="preserve">  (-) Total Debt ($M)</t>
        </is>
      </c>
      <c r="B96" s="26">
        <f>$B$11</f>
        <v/>
      </c>
    </row>
    <row r="97">
      <c r="A97" s="8" t="inlineStr">
        <is>
          <t xml:space="preserve">  (+) Total Cash &amp; Equivalents ($M)</t>
        </is>
      </c>
      <c r="B97" s="9">
        <f>$B$10</f>
        <v/>
      </c>
    </row>
    <row r="98">
      <c r="A98" s="8" t="inlineStr">
        <is>
          <t xml:space="preserve">  (-) Net Debt ($M)</t>
        </is>
      </c>
      <c r="B98" s="26">
        <f>$B$12</f>
        <v/>
      </c>
    </row>
    <row r="99">
      <c r="A99" s="22" t="inlineStr">
        <is>
          <t>Implied Equity Value ($M)</t>
        </is>
      </c>
      <c r="B99" s="35">
        <f>B95-B98</f>
        <v/>
      </c>
    </row>
    <row r="100">
      <c r="A100" s="8" t="inlineStr">
        <is>
          <t xml:space="preserve">  Diluted Shares Outstanding (M)</t>
        </is>
      </c>
      <c r="B100" s="10">
        <f>$B$8</f>
        <v/>
      </c>
    </row>
    <row r="101">
      <c r="A101" s="22" t="inlineStr">
        <is>
          <t>Implied Price per Share ($)</t>
        </is>
      </c>
      <c r="B101" s="35">
        <f>B99/B100</f>
        <v/>
      </c>
    </row>
    <row r="102">
      <c r="A102" s="8" t="inlineStr">
        <is>
          <t>Current Market Share Price ($)</t>
        </is>
      </c>
      <c r="B102" s="9">
        <f>$B$7</f>
        <v/>
      </c>
    </row>
    <row r="103">
      <c r="A103" s="22" t="inlineStr">
        <is>
          <t>Implied Upside / (Downside) (%)</t>
        </is>
      </c>
      <c r="B103" s="36">
        <f>(B101/B102)-1</f>
        <v/>
      </c>
    </row>
    <row r="106">
      <c r="A106" s="6" t="inlineStr">
        <is>
          <t>VII. SENSITIVITY ANALYSIS (5x5 INSTITUTIONAL VALUATION GRIDS)</t>
        </is>
      </c>
      <c r="B106" s="7" t="n"/>
      <c r="C106" s="7" t="n"/>
      <c r="D106" s="7" t="n"/>
      <c r="E106" s="7" t="n"/>
      <c r="F106" s="7" t="n"/>
      <c r="G106" s="7" t="n"/>
      <c r="H106" s="7" t="n"/>
    </row>
    <row r="107">
      <c r="A107" s="37" t="inlineStr">
        <is>
          <t>Sensitivity Table 1: Implied Share Price ($) vs. WACC and Perpetual Terminal Growth Rate (g)</t>
        </is>
      </c>
    </row>
    <row r="108">
      <c r="A108" s="17" t="inlineStr">
        <is>
          <t>WACC \ g</t>
        </is>
      </c>
      <c r="B108" s="38" t="n">
        <v>0.015</v>
      </c>
      <c r="C108" s="38" t="n">
        <v>0.02</v>
      </c>
      <c r="D108" s="39" t="n">
        <v>0.025</v>
      </c>
      <c r="E108" s="38" t="n">
        <v>0.03</v>
      </c>
      <c r="F108" s="38" t="n">
        <v>0.035</v>
      </c>
    </row>
    <row r="109">
      <c r="A109" s="40" t="n">
        <v>0.105</v>
      </c>
      <c r="B109" s="41">
        <f>(($C$74/(1+$A109)^0.5 + $D$74/(1+$A109)^1.5 + $E$74/(1+$A109)^2.5 + $F$74/(1+$A109)^3.5 + $G$74/(1+$A109)^4.5 + ($G$74*(1+B$108)/($A109-B$108))/(1+$A109)^4.5) - $B$12)/$B$8</f>
        <v/>
      </c>
      <c r="C109" s="41">
        <f>(($C$74/(1+$A109)^0.5 + $D$74/(1+$A109)^1.5 + $E$74/(1+$A109)^2.5 + $F$74/(1+$A109)^3.5 + $G$74/(1+$A109)^4.5 + ($G$74*(1+C$108)/($A109-C$108))/(1+$A109)^4.5) - $B$12)/$B$8</f>
        <v/>
      </c>
      <c r="D109" s="41">
        <f>(($C$74/(1+$A109)^0.5 + $D$74/(1+$A109)^1.5 + $E$74/(1+$A109)^2.5 + $F$74/(1+$A109)^3.5 + $G$74/(1+$A109)^4.5 + ($G$74*(1+D$108)/($A109-D$108))/(1+$A109)^4.5) - $B$12)/$B$8</f>
        <v/>
      </c>
      <c r="E109" s="41">
        <f>(($C$74/(1+$A109)^0.5 + $D$74/(1+$A109)^1.5 + $E$74/(1+$A109)^2.5 + $F$74/(1+$A109)^3.5 + $G$74/(1+$A109)^4.5 + ($G$74*(1+E$108)/($A109-E$108))/(1+$A109)^4.5) - $B$12)/$B$8</f>
        <v/>
      </c>
      <c r="F109" s="41">
        <f>(($C$74/(1+$A109)^0.5 + $D$74/(1+$A109)^1.5 + $E$74/(1+$A109)^2.5 + $F$74/(1+$A109)^3.5 + $G$74/(1+$A109)^4.5 + ($G$74*(1+F$108)/($A109-F$108))/(1+$A109)^4.5) - $B$12)/$B$8</f>
        <v/>
      </c>
    </row>
    <row r="110">
      <c r="A110" s="40" t="n">
        <v>0.11</v>
      </c>
      <c r="B110" s="41">
        <f>(($C$74/(1+$A110)^0.5 + $D$74/(1+$A110)^1.5 + $E$74/(1+$A110)^2.5 + $F$74/(1+$A110)^3.5 + $G$74/(1+$A110)^4.5 + ($G$74*(1+B$108)/($A110-B$108))/(1+$A110)^4.5) - $B$12)/$B$8</f>
        <v/>
      </c>
      <c r="C110" s="41">
        <f>(($C$74/(1+$A110)^0.5 + $D$74/(1+$A110)^1.5 + $E$74/(1+$A110)^2.5 + $F$74/(1+$A110)^3.5 + $G$74/(1+$A110)^4.5 + ($G$74*(1+C$108)/($A110-C$108))/(1+$A110)^4.5) - $B$12)/$B$8</f>
        <v/>
      </c>
      <c r="D110" s="41">
        <f>(($C$74/(1+$A110)^0.5 + $D$74/(1+$A110)^1.5 + $E$74/(1+$A110)^2.5 + $F$74/(1+$A110)^3.5 + $G$74/(1+$A110)^4.5 + ($G$74*(1+D$108)/($A110-D$108))/(1+$A110)^4.5) - $B$12)/$B$8</f>
        <v/>
      </c>
      <c r="E110" s="41">
        <f>(($C$74/(1+$A110)^0.5 + $D$74/(1+$A110)^1.5 + $E$74/(1+$A110)^2.5 + $F$74/(1+$A110)^3.5 + $G$74/(1+$A110)^4.5 + ($G$74*(1+E$108)/($A110-E$108))/(1+$A110)^4.5) - $B$12)/$B$8</f>
        <v/>
      </c>
      <c r="F110" s="41">
        <f>(($C$74/(1+$A110)^0.5 + $D$74/(1+$A110)^1.5 + $E$74/(1+$A110)^2.5 + $F$74/(1+$A110)^3.5 + $G$74/(1+$A110)^4.5 + ($G$74*(1+F$108)/($A110-F$108))/(1+$A110)^4.5) - $B$12)/$B$8</f>
        <v/>
      </c>
    </row>
    <row r="111">
      <c r="A111" s="42" t="n">
        <v>0.115</v>
      </c>
      <c r="B111" s="41">
        <f>(($C$74/(1+$A111)^0.5 + $D$74/(1+$A111)^1.5 + $E$74/(1+$A111)^2.5 + $F$74/(1+$A111)^3.5 + $G$74/(1+$A111)^4.5 + ($G$74*(1+B$108)/($A111-B$108))/(1+$A111)^4.5) - $B$12)/$B$8</f>
        <v/>
      </c>
      <c r="C111" s="41">
        <f>(($C$74/(1+$A111)^0.5 + $D$74/(1+$A111)^1.5 + $E$74/(1+$A111)^2.5 + $F$74/(1+$A111)^3.5 + $G$74/(1+$A111)^4.5 + ($G$74*(1+C$108)/($A111-C$108))/(1+$A111)^4.5) - $B$12)/$B$8</f>
        <v/>
      </c>
      <c r="D111" s="43">
        <f>(($C$74/(1+$A111)^0.5 + $D$74/(1+$A111)^1.5 + $E$74/(1+$A111)^2.5 + $F$74/(1+$A111)^3.5 + $G$74/(1+$A111)^4.5 + ($G$74*(1+D$108)/($A111-D$108))/(1+$A111)^4.5) - $B$12)/$B$8</f>
        <v/>
      </c>
      <c r="E111" s="41">
        <f>(($C$74/(1+$A111)^0.5 + $D$74/(1+$A111)^1.5 + $E$74/(1+$A111)^2.5 + $F$74/(1+$A111)^3.5 + $G$74/(1+$A111)^4.5 + ($G$74*(1+E$108)/($A111-E$108))/(1+$A111)^4.5) - $B$12)/$B$8</f>
        <v/>
      </c>
      <c r="F111" s="41">
        <f>(($C$74/(1+$A111)^0.5 + $D$74/(1+$A111)^1.5 + $E$74/(1+$A111)^2.5 + $F$74/(1+$A111)^3.5 + $G$74/(1+$A111)^4.5 + ($G$74*(1+F$108)/($A111-F$108))/(1+$A111)^4.5) - $B$12)/$B$8</f>
        <v/>
      </c>
    </row>
    <row r="112">
      <c r="A112" s="40" t="n">
        <v>0.12</v>
      </c>
      <c r="B112" s="41">
        <f>(($C$74/(1+$A112)^0.5 + $D$74/(1+$A112)^1.5 + $E$74/(1+$A112)^2.5 + $F$74/(1+$A112)^3.5 + $G$74/(1+$A112)^4.5 + ($G$74*(1+B$108)/($A112-B$108))/(1+$A112)^4.5) - $B$12)/$B$8</f>
        <v/>
      </c>
      <c r="C112" s="41">
        <f>(($C$74/(1+$A112)^0.5 + $D$74/(1+$A112)^1.5 + $E$74/(1+$A112)^2.5 + $F$74/(1+$A112)^3.5 + $G$74/(1+$A112)^4.5 + ($G$74*(1+C$108)/($A112-C$108))/(1+$A112)^4.5) - $B$12)/$B$8</f>
        <v/>
      </c>
      <c r="D112" s="41">
        <f>(($C$74/(1+$A112)^0.5 + $D$74/(1+$A112)^1.5 + $E$74/(1+$A112)^2.5 + $F$74/(1+$A112)^3.5 + $G$74/(1+$A112)^4.5 + ($G$74*(1+D$108)/($A112-D$108))/(1+$A112)^4.5) - $B$12)/$B$8</f>
        <v/>
      </c>
      <c r="E112" s="41">
        <f>(($C$74/(1+$A112)^0.5 + $D$74/(1+$A112)^1.5 + $E$74/(1+$A112)^2.5 + $F$74/(1+$A112)^3.5 + $G$74/(1+$A112)^4.5 + ($G$74*(1+E$108)/($A112-E$108))/(1+$A112)^4.5) - $B$12)/$B$8</f>
        <v/>
      </c>
      <c r="F112" s="41">
        <f>(($C$74/(1+$A112)^0.5 + $D$74/(1+$A112)^1.5 + $E$74/(1+$A112)^2.5 + $F$74/(1+$A112)^3.5 + $G$74/(1+$A112)^4.5 + ($G$74*(1+F$108)/($A112-F$108))/(1+$A112)^4.5) - $B$12)/$B$8</f>
        <v/>
      </c>
    </row>
    <row r="113">
      <c r="A113" s="40" t="n">
        <v>0.125</v>
      </c>
      <c r="B113" s="41">
        <f>(($C$74/(1+$A113)^0.5 + $D$74/(1+$A113)^1.5 + $E$74/(1+$A113)^2.5 + $F$74/(1+$A113)^3.5 + $G$74/(1+$A113)^4.5 + ($G$74*(1+B$108)/($A113-B$108))/(1+$A113)^4.5) - $B$12)/$B$8</f>
        <v/>
      </c>
      <c r="C113" s="41">
        <f>(($C$74/(1+$A113)^0.5 + $D$74/(1+$A113)^1.5 + $E$74/(1+$A113)^2.5 + $F$74/(1+$A113)^3.5 + $G$74/(1+$A113)^4.5 + ($G$74*(1+C$108)/($A113-C$108))/(1+$A113)^4.5) - $B$12)/$B$8</f>
        <v/>
      </c>
      <c r="D113" s="41">
        <f>(($C$74/(1+$A113)^0.5 + $D$74/(1+$A113)^1.5 + $E$74/(1+$A113)^2.5 + $F$74/(1+$A113)^3.5 + $G$74/(1+$A113)^4.5 + ($G$74*(1+D$108)/($A113-D$108))/(1+$A113)^4.5) - $B$12)/$B$8</f>
        <v/>
      </c>
      <c r="E113" s="41">
        <f>(($C$74/(1+$A113)^0.5 + $D$74/(1+$A113)^1.5 + $E$74/(1+$A113)^2.5 + $F$74/(1+$A113)^3.5 + $G$74/(1+$A113)^4.5 + ($G$74*(1+E$108)/($A113-E$108))/(1+$A113)^4.5) - $B$12)/$B$8</f>
        <v/>
      </c>
      <c r="F113" s="41">
        <f>(($C$74/(1+$A113)^0.5 + $D$74/(1+$A113)^1.5 + $E$74/(1+$A113)^2.5 + $F$74/(1+$A113)^3.5 + $G$74/(1+$A113)^4.5 + ($G$74*(1+F$108)/($A113-F$108))/(1+$A113)^4.5) - $B$12)/$B$8</f>
        <v/>
      </c>
    </row>
    <row r="116">
      <c r="A116" s="37" t="inlineStr">
        <is>
          <t>Sensitivity Table 2: Implied Share Price ($) vs. Revenue Growth Delta &amp; Target FY30 EBIT Margin</t>
        </is>
      </c>
    </row>
    <row r="117">
      <c r="A117" s="17" t="inlineStr">
        <is>
          <t>EBIT Margin \ Rev Growth Δ</t>
        </is>
      </c>
      <c r="B117" s="44" t="n">
        <v>-0.02</v>
      </c>
      <c r="C117" s="44" t="n">
        <v>-0.01</v>
      </c>
      <c r="D117" s="45" t="n">
        <v>0</v>
      </c>
      <c r="E117" s="44" t="n">
        <v>0.01</v>
      </c>
      <c r="F117" s="44" t="n">
        <v>0.02</v>
      </c>
    </row>
    <row r="118">
      <c r="A118" s="40" t="n">
        <v>0.115</v>
      </c>
      <c r="B118" s="41">
        <f>((($C$74*(1+B$117)*($A118/0.135))/(1+$B$61)^0.5 + ($D$74*(1+B$117)*($A118/0.135))/(1+$B$61)^1.5 + ($E$74*(1+B$117)*($A118/0.135))/(1+$B$61)^2.5 + ($F$74*(1+B$117)*($A118/0.135))/(1+$B$61)^3.5 + ($G$74*(1+B$117)*($A118/0.135))/(1+$B$61)^4.5 + (($G$74*(1+B$117)*($A118/0.135)*(1+$H$41)/($B$61-$H$41))/(1+$B$61)^4.5)) - $B$12)/$B$8</f>
        <v/>
      </c>
      <c r="C118" s="41">
        <f>((($C$74*(1+C$117)*($A118/0.135))/(1+$B$61)^0.5 + ($D$74*(1+C$117)*($A118/0.135))/(1+$B$61)^1.5 + ($E$74*(1+C$117)*($A118/0.135))/(1+$B$61)^2.5 + ($F$74*(1+C$117)*($A118/0.135))/(1+$B$61)^3.5 + ($G$74*(1+C$117)*($A118/0.135))/(1+$B$61)^4.5 + (($G$74*(1+C$117)*($A118/0.135)*(1+$H$41)/($B$61-$H$41))/(1+$B$61)^4.5)) - $B$12)/$B$8</f>
        <v/>
      </c>
      <c r="D118" s="41">
        <f>((($C$74*(1+D$117)*($A118/0.135))/(1+$B$61)^0.5 + ($D$74*(1+D$117)*($A118/0.135))/(1+$B$61)^1.5 + ($E$74*(1+D$117)*($A118/0.135))/(1+$B$61)^2.5 + ($F$74*(1+D$117)*($A118/0.135))/(1+$B$61)^3.5 + ($G$74*(1+D$117)*($A118/0.135))/(1+$B$61)^4.5 + (($G$74*(1+D$117)*($A118/0.135)*(1+$H$41)/($B$61-$H$41))/(1+$B$61)^4.5)) - $B$12)/$B$8</f>
        <v/>
      </c>
      <c r="E118" s="41">
        <f>((($C$74*(1+E$117)*($A118/0.135))/(1+$B$61)^0.5 + ($D$74*(1+E$117)*($A118/0.135))/(1+$B$61)^1.5 + ($E$74*(1+E$117)*($A118/0.135))/(1+$B$61)^2.5 + ($F$74*(1+E$117)*($A118/0.135))/(1+$B$61)^3.5 + ($G$74*(1+E$117)*($A118/0.135))/(1+$B$61)^4.5 + (($G$74*(1+E$117)*($A118/0.135)*(1+$H$41)/($B$61-$H$41))/(1+$B$61)^4.5)) - $B$12)/$B$8</f>
        <v/>
      </c>
      <c r="F118" s="41">
        <f>((($C$74*(1+F$117)*($A118/0.135))/(1+$B$61)^0.5 + ($D$74*(1+F$117)*($A118/0.135))/(1+$B$61)^1.5 + ($E$74*(1+F$117)*($A118/0.135))/(1+$B$61)^2.5 + ($F$74*(1+F$117)*($A118/0.135))/(1+$B$61)^3.5 + ($G$74*(1+F$117)*($A118/0.135))/(1+$B$61)^4.5 + (($G$74*(1+F$117)*($A118/0.135)*(1+$H$41)/($B$61-$H$41))/(1+$B$61)^4.5)) - $B$12)/$B$8</f>
        <v/>
      </c>
    </row>
    <row r="119">
      <c r="A119" s="40" t="n">
        <v>0.125</v>
      </c>
      <c r="B119" s="41">
        <f>((($C$74*(1+B$117)*($A119/0.135))/(1+$B$61)^0.5 + ($D$74*(1+B$117)*($A119/0.135))/(1+$B$61)^1.5 + ($E$74*(1+B$117)*($A119/0.135))/(1+$B$61)^2.5 + ($F$74*(1+B$117)*($A119/0.135))/(1+$B$61)^3.5 + ($G$74*(1+B$117)*($A119/0.135))/(1+$B$61)^4.5 + (($G$74*(1+B$117)*($A119/0.135)*(1+$H$41)/($B$61-$H$41))/(1+$B$61)^4.5)) - $B$12)/$B$8</f>
        <v/>
      </c>
      <c r="C119" s="41">
        <f>((($C$74*(1+C$117)*($A119/0.135))/(1+$B$61)^0.5 + ($D$74*(1+C$117)*($A119/0.135))/(1+$B$61)^1.5 + ($E$74*(1+C$117)*($A119/0.135))/(1+$B$61)^2.5 + ($F$74*(1+C$117)*($A119/0.135))/(1+$B$61)^3.5 + ($G$74*(1+C$117)*($A119/0.135))/(1+$B$61)^4.5 + (($G$74*(1+C$117)*($A119/0.135)*(1+$H$41)/($B$61-$H$41))/(1+$B$61)^4.5)) - $B$12)/$B$8</f>
        <v/>
      </c>
      <c r="D119" s="41">
        <f>((($C$74*(1+D$117)*($A119/0.135))/(1+$B$61)^0.5 + ($D$74*(1+D$117)*($A119/0.135))/(1+$B$61)^1.5 + ($E$74*(1+D$117)*($A119/0.135))/(1+$B$61)^2.5 + ($F$74*(1+D$117)*($A119/0.135))/(1+$B$61)^3.5 + ($G$74*(1+D$117)*($A119/0.135))/(1+$B$61)^4.5 + (($G$74*(1+D$117)*($A119/0.135)*(1+$H$41)/($B$61-$H$41))/(1+$B$61)^4.5)) - $B$12)/$B$8</f>
        <v/>
      </c>
      <c r="E119" s="41">
        <f>((($C$74*(1+E$117)*($A119/0.135))/(1+$B$61)^0.5 + ($D$74*(1+E$117)*($A119/0.135))/(1+$B$61)^1.5 + ($E$74*(1+E$117)*($A119/0.135))/(1+$B$61)^2.5 + ($F$74*(1+E$117)*($A119/0.135))/(1+$B$61)^3.5 + ($G$74*(1+E$117)*($A119/0.135))/(1+$B$61)^4.5 + (($G$74*(1+E$117)*($A119/0.135)*(1+$H$41)/($B$61-$H$41))/(1+$B$61)^4.5)) - $B$12)/$B$8</f>
        <v/>
      </c>
      <c r="F119" s="41">
        <f>((($C$74*(1+F$117)*($A119/0.135))/(1+$B$61)^0.5 + ($D$74*(1+F$117)*($A119/0.135))/(1+$B$61)^1.5 + ($E$74*(1+F$117)*($A119/0.135))/(1+$B$61)^2.5 + ($F$74*(1+F$117)*($A119/0.135))/(1+$B$61)^3.5 + ($G$74*(1+F$117)*($A119/0.135))/(1+$B$61)^4.5 + (($G$74*(1+F$117)*($A119/0.135)*(1+$H$41)/($B$61-$H$41))/(1+$B$61)^4.5)) - $B$12)/$B$8</f>
        <v/>
      </c>
    </row>
    <row r="120">
      <c r="A120" s="42" t="n">
        <v>0.135</v>
      </c>
      <c r="B120" s="41">
        <f>((($C$74*(1+B$117)*($A120/0.135))/(1+$B$61)^0.5 + ($D$74*(1+B$117)*($A120/0.135))/(1+$B$61)^1.5 + ($E$74*(1+B$117)*($A120/0.135))/(1+$B$61)^2.5 + ($F$74*(1+B$117)*($A120/0.135))/(1+$B$61)^3.5 + ($G$74*(1+B$117)*($A120/0.135))/(1+$B$61)^4.5 + (($G$74*(1+B$117)*($A120/0.135)*(1+$H$41)/($B$61-$H$41))/(1+$B$61)^4.5)) - $B$12)/$B$8</f>
        <v/>
      </c>
      <c r="C120" s="41">
        <f>((($C$74*(1+C$117)*($A120/0.135))/(1+$B$61)^0.5 + ($D$74*(1+C$117)*($A120/0.135))/(1+$B$61)^1.5 + ($E$74*(1+C$117)*($A120/0.135))/(1+$B$61)^2.5 + ($F$74*(1+C$117)*($A120/0.135))/(1+$B$61)^3.5 + ($G$74*(1+C$117)*($A120/0.135))/(1+$B$61)^4.5 + (($G$74*(1+C$117)*($A120/0.135)*(1+$H$41)/($B$61-$H$41))/(1+$B$61)^4.5)) - $B$12)/$B$8</f>
        <v/>
      </c>
      <c r="D120" s="43">
        <f>((($C$74*(1+D$117)*($A120/0.135))/(1+$B$61)^0.5 + ($D$74*(1+D$117)*($A120/0.135))/(1+$B$61)^1.5 + ($E$74*(1+D$117)*($A120/0.135))/(1+$B$61)^2.5 + ($F$74*(1+D$117)*($A120/0.135))/(1+$B$61)^3.5 + ($G$74*(1+D$117)*($A120/0.135))/(1+$B$61)^4.5 + (($G$74*(1+D$117)*($A120/0.135)*(1+$H$41)/($B$61-$H$41))/(1+$B$61)^4.5)) - $B$12)/$B$8</f>
        <v/>
      </c>
      <c r="E120" s="41">
        <f>((($C$74*(1+E$117)*($A120/0.135))/(1+$B$61)^0.5 + ($D$74*(1+E$117)*($A120/0.135))/(1+$B$61)^1.5 + ($E$74*(1+E$117)*($A120/0.135))/(1+$B$61)^2.5 + ($F$74*(1+E$117)*($A120/0.135))/(1+$B$61)^3.5 + ($G$74*(1+E$117)*($A120/0.135))/(1+$B$61)^4.5 + (($G$74*(1+E$117)*($A120/0.135)*(1+$H$41)/($B$61-$H$41))/(1+$B$61)^4.5)) - $B$12)/$B$8</f>
        <v/>
      </c>
      <c r="F120" s="41">
        <f>((($C$74*(1+F$117)*($A120/0.135))/(1+$B$61)^0.5 + ($D$74*(1+F$117)*($A120/0.135))/(1+$B$61)^1.5 + ($E$74*(1+F$117)*($A120/0.135))/(1+$B$61)^2.5 + ($F$74*(1+F$117)*($A120/0.135))/(1+$B$61)^3.5 + ($G$74*(1+F$117)*($A120/0.135))/(1+$B$61)^4.5 + (($G$74*(1+F$117)*($A120/0.135)*(1+$H$41)/($B$61-$H$41))/(1+$B$61)^4.5)) - $B$12)/$B$8</f>
        <v/>
      </c>
    </row>
    <row r="121">
      <c r="A121" s="40" t="n">
        <v>0.145</v>
      </c>
      <c r="B121" s="41">
        <f>((($C$74*(1+B$117)*($A121/0.135))/(1+$B$61)^0.5 + ($D$74*(1+B$117)*($A121/0.135))/(1+$B$61)^1.5 + ($E$74*(1+B$117)*($A121/0.135))/(1+$B$61)^2.5 + ($F$74*(1+B$117)*($A121/0.135))/(1+$B$61)^3.5 + ($G$74*(1+B$117)*($A121/0.135))/(1+$B$61)^4.5 + (($G$74*(1+B$117)*($A121/0.135)*(1+$H$41)/($B$61-$H$41))/(1+$B$61)^4.5)) - $B$12)/$B$8</f>
        <v/>
      </c>
      <c r="C121" s="41">
        <f>((($C$74*(1+C$117)*($A121/0.135))/(1+$B$61)^0.5 + ($D$74*(1+C$117)*($A121/0.135))/(1+$B$61)^1.5 + ($E$74*(1+C$117)*($A121/0.135))/(1+$B$61)^2.5 + ($F$74*(1+C$117)*($A121/0.135))/(1+$B$61)^3.5 + ($G$74*(1+C$117)*($A121/0.135))/(1+$B$61)^4.5 + (($G$74*(1+C$117)*($A121/0.135)*(1+$H$41)/($B$61-$H$41))/(1+$B$61)^4.5)) - $B$12)/$B$8</f>
        <v/>
      </c>
      <c r="D121" s="41">
        <f>((($C$74*(1+D$117)*($A121/0.135))/(1+$B$61)^0.5 + ($D$74*(1+D$117)*($A121/0.135))/(1+$B$61)^1.5 + ($E$74*(1+D$117)*($A121/0.135))/(1+$B$61)^2.5 + ($F$74*(1+D$117)*($A121/0.135))/(1+$B$61)^3.5 + ($G$74*(1+D$117)*($A121/0.135))/(1+$B$61)^4.5 + (($G$74*(1+D$117)*($A121/0.135)*(1+$H$41)/($B$61-$H$41))/(1+$B$61)^4.5)) - $B$12)/$B$8</f>
        <v/>
      </c>
      <c r="E121" s="41">
        <f>((($C$74*(1+E$117)*($A121/0.135))/(1+$B$61)^0.5 + ($D$74*(1+E$117)*($A121/0.135))/(1+$B$61)^1.5 + ($E$74*(1+E$117)*($A121/0.135))/(1+$B$61)^2.5 + ($F$74*(1+E$117)*($A121/0.135))/(1+$B$61)^3.5 + ($G$74*(1+E$117)*($A121/0.135))/(1+$B$61)^4.5 + (($G$74*(1+E$117)*($A121/0.135)*(1+$H$41)/($B$61-$H$41))/(1+$B$61)^4.5)) - $B$12)/$B$8</f>
        <v/>
      </c>
      <c r="F121" s="41">
        <f>((($C$74*(1+F$117)*($A121/0.135))/(1+$B$61)^0.5 + ($D$74*(1+F$117)*($A121/0.135))/(1+$B$61)^1.5 + ($E$74*(1+F$117)*($A121/0.135))/(1+$B$61)^2.5 + ($F$74*(1+F$117)*($A121/0.135))/(1+$B$61)^3.5 + ($G$74*(1+F$117)*($A121/0.135))/(1+$B$61)^4.5 + (($G$74*(1+F$117)*($A121/0.135)*(1+$H$41)/($B$61-$H$41))/(1+$B$61)^4.5)) - $B$12)/$B$8</f>
        <v/>
      </c>
    </row>
    <row r="122">
      <c r="A122" s="40" t="n">
        <v>0.155</v>
      </c>
      <c r="B122" s="41">
        <f>((($C$74*(1+B$117)*($A122/0.135))/(1+$B$61)^0.5 + ($D$74*(1+B$117)*($A122/0.135))/(1+$B$61)^1.5 + ($E$74*(1+B$117)*($A122/0.135))/(1+$B$61)^2.5 + ($F$74*(1+B$117)*($A122/0.135))/(1+$B$61)^3.5 + ($G$74*(1+B$117)*($A122/0.135))/(1+$B$61)^4.5 + (($G$74*(1+B$117)*($A122/0.135)*(1+$H$41)/($B$61-$H$41))/(1+$B$61)^4.5)) - $B$12)/$B$8</f>
        <v/>
      </c>
      <c r="C122" s="41">
        <f>((($C$74*(1+C$117)*($A122/0.135))/(1+$B$61)^0.5 + ($D$74*(1+C$117)*($A122/0.135))/(1+$B$61)^1.5 + ($E$74*(1+C$117)*($A122/0.135))/(1+$B$61)^2.5 + ($F$74*(1+C$117)*($A122/0.135))/(1+$B$61)^3.5 + ($G$74*(1+C$117)*($A122/0.135))/(1+$B$61)^4.5 + (($G$74*(1+C$117)*($A122/0.135)*(1+$H$41)/($B$61-$H$41))/(1+$B$61)^4.5)) - $B$12)/$B$8</f>
        <v/>
      </c>
      <c r="D122" s="41">
        <f>((($C$74*(1+D$117)*($A122/0.135))/(1+$B$61)^0.5 + ($D$74*(1+D$117)*($A122/0.135))/(1+$B$61)^1.5 + ($E$74*(1+D$117)*($A122/0.135))/(1+$B$61)^2.5 + ($F$74*(1+D$117)*($A122/0.135))/(1+$B$61)^3.5 + ($G$74*(1+D$117)*($A122/0.135))/(1+$B$61)^4.5 + (($G$74*(1+D$117)*($A122/0.135)*(1+$H$41)/($B$61-$H$41))/(1+$B$61)^4.5)) - $B$12)/$B$8</f>
        <v/>
      </c>
      <c r="E122" s="41">
        <f>((($C$74*(1+E$117)*($A122/0.135))/(1+$B$61)^0.5 + ($D$74*(1+E$117)*($A122/0.135))/(1+$B$61)^1.5 + ($E$74*(1+E$117)*($A122/0.135))/(1+$B$61)^2.5 + ($F$74*(1+E$117)*($A122/0.135))/(1+$B$61)^3.5 + ($G$74*(1+E$117)*($A122/0.135))/(1+$B$61)^4.5 + (($G$74*(1+E$117)*($A122/0.135)*(1+$H$41)/($B$61-$H$41))/(1+$B$61)^4.5)) - $B$12)/$B$8</f>
        <v/>
      </c>
      <c r="F122" s="41">
        <f>((($C$74*(1+F$117)*($A122/0.135))/(1+$B$61)^0.5 + ($D$74*(1+F$117)*($A122/0.135))/(1+$B$61)^1.5 + ($E$74*(1+F$117)*($A122/0.135))/(1+$B$61)^2.5 + ($F$74*(1+F$117)*($A122/0.135))/(1+$B$61)^3.5 + ($G$74*(1+F$117)*($A122/0.135))/(1+$B$61)^4.5 + (($G$74*(1+F$117)*($A122/0.135)*(1+$H$41)/($B$61-$H$41))/(1+$B$61)^4.5)) - $B$12)/$B$8</f>
        <v/>
      </c>
    </row>
    <row r="125">
      <c r="A125" s="37" t="inlineStr">
        <is>
          <t>Sensitivity Table 3: Implied Share Price ($) vs. Beta &amp; 10-Year Treasury Yield (Risk-Free Rate)</t>
        </is>
      </c>
    </row>
    <row r="126">
      <c r="A126" s="17" t="inlineStr">
        <is>
          <t>Beta \ Risk-Free Rate</t>
        </is>
      </c>
      <c r="B126" s="46" t="n">
        <v>0.0325</v>
      </c>
      <c r="C126" s="46" t="n">
        <v>0.0375</v>
      </c>
      <c r="D126" s="47" t="n">
        <v>0.0425</v>
      </c>
      <c r="E126" s="46" t="n">
        <v>0.0475</v>
      </c>
      <c r="F126" s="46" t="n">
        <v>0.0525</v>
      </c>
    </row>
    <row r="127">
      <c r="A127" s="48" t="n">
        <v>1.15</v>
      </c>
      <c r="B127" s="41">
        <f>(($C$74/(1+((B$126 + $A127*0.055)*$B$59 + $B$55*$B$60))^0.5 + $D$74/(1+((B$126 + $A127*0.055)*$B$59 + $B$55*$B$60))^1.5 + $E$74/(1+((B$126 + $A127*0.055)*$B$59 + $B$55*$B$60))^2.5 + $F$74/(1+((B$126 + $A127*0.055)*$B$59 + $B$55*$B$60))^3.5 + $G$74/(1+((B$126 + $A127*0.055)*$B$59 + $B$55*$B$60))^4.5 + ($G$74*(1+$H$41)/(((B$126 + $A127*0.055)*$B$59 + $B$55*$B$60)-$H$41))/(1+((B$126 + $A127*0.055)*$B$59 + $B$55*$B$60))^4.5) - $B$12)/$B$8</f>
        <v/>
      </c>
      <c r="C127" s="41">
        <f>(($C$74/(1+((C$126 + $A127*0.055)*$B$59 + $B$55*$B$60))^0.5 + $D$74/(1+((C$126 + $A127*0.055)*$B$59 + $B$55*$B$60))^1.5 + $E$74/(1+((C$126 + $A127*0.055)*$B$59 + $B$55*$B$60))^2.5 + $F$74/(1+((C$126 + $A127*0.055)*$B$59 + $B$55*$B$60))^3.5 + $G$74/(1+((C$126 + $A127*0.055)*$B$59 + $B$55*$B$60))^4.5 + ($G$74*(1+$H$41)/(((C$126 + $A127*0.055)*$B$59 + $B$55*$B$60)-$H$41))/(1+((C$126 + $A127*0.055)*$B$59 + $B$55*$B$60))^4.5) - $B$12)/$B$8</f>
        <v/>
      </c>
      <c r="D127" s="41">
        <f>(($C$74/(1+((D$126 + $A127*0.055)*$B$59 + $B$55*$B$60))^0.5 + $D$74/(1+((D$126 + $A127*0.055)*$B$59 + $B$55*$B$60))^1.5 + $E$74/(1+((D$126 + $A127*0.055)*$B$59 + $B$55*$B$60))^2.5 + $F$74/(1+((D$126 + $A127*0.055)*$B$59 + $B$55*$B$60))^3.5 + $G$74/(1+((D$126 + $A127*0.055)*$B$59 + $B$55*$B$60))^4.5 + ($G$74*(1+$H$41)/(((D$126 + $A127*0.055)*$B$59 + $B$55*$B$60)-$H$41))/(1+((D$126 + $A127*0.055)*$B$59 + $B$55*$B$60))^4.5) - $B$12)/$B$8</f>
        <v/>
      </c>
      <c r="E127" s="41">
        <f>(($C$74/(1+((E$126 + $A127*0.055)*$B$59 + $B$55*$B$60))^0.5 + $D$74/(1+((E$126 + $A127*0.055)*$B$59 + $B$55*$B$60))^1.5 + $E$74/(1+((E$126 + $A127*0.055)*$B$59 + $B$55*$B$60))^2.5 + $F$74/(1+((E$126 + $A127*0.055)*$B$59 + $B$55*$B$60))^3.5 + $G$74/(1+((E$126 + $A127*0.055)*$B$59 + $B$55*$B$60))^4.5 + ($G$74*(1+$H$41)/(((E$126 + $A127*0.055)*$B$59 + $B$55*$B$60)-$H$41))/(1+((E$126 + $A127*0.055)*$B$59 + $B$55*$B$60))^4.5) - $B$12)/$B$8</f>
        <v/>
      </c>
      <c r="F127" s="41">
        <f>(($C$74/(1+((F$126 + $A127*0.055)*$B$59 + $B$55*$B$60))^0.5 + $D$74/(1+((F$126 + $A127*0.055)*$B$59 + $B$55*$B$60))^1.5 + $E$74/(1+((F$126 + $A127*0.055)*$B$59 + $B$55*$B$60))^2.5 + $F$74/(1+((F$126 + $A127*0.055)*$B$59 + $B$55*$B$60))^3.5 + $G$74/(1+((F$126 + $A127*0.055)*$B$59 + $B$55*$B$60))^4.5 + ($G$74*(1+$H$41)/(((F$126 + $A127*0.055)*$B$59 + $B$55*$B$60)-$H$41))/(1+((F$126 + $A127*0.055)*$B$59 + $B$55*$B$60))^4.5) - $B$12)/$B$8</f>
        <v/>
      </c>
    </row>
    <row r="128">
      <c r="A128" s="48" t="n">
        <v>1.25</v>
      </c>
      <c r="B128" s="41">
        <f>(($C$74/(1+((B$126 + $A128*0.055)*$B$59 + $B$55*$B$60))^0.5 + $D$74/(1+((B$126 + $A128*0.055)*$B$59 + $B$55*$B$60))^1.5 + $E$74/(1+((B$126 + $A128*0.055)*$B$59 + $B$55*$B$60))^2.5 + $F$74/(1+((B$126 + $A128*0.055)*$B$59 + $B$55*$B$60))^3.5 + $G$74/(1+((B$126 + $A128*0.055)*$B$59 + $B$55*$B$60))^4.5 + ($G$74*(1+$H$41)/(((B$126 + $A128*0.055)*$B$59 + $B$55*$B$60)-$H$41))/(1+((B$126 + $A128*0.055)*$B$59 + $B$55*$B$60))^4.5) - $B$12)/$B$8</f>
        <v/>
      </c>
      <c r="C128" s="41">
        <f>(($C$74/(1+((C$126 + $A128*0.055)*$B$59 + $B$55*$B$60))^0.5 + $D$74/(1+((C$126 + $A128*0.055)*$B$59 + $B$55*$B$60))^1.5 + $E$74/(1+((C$126 + $A128*0.055)*$B$59 + $B$55*$B$60))^2.5 + $F$74/(1+((C$126 + $A128*0.055)*$B$59 + $B$55*$B$60))^3.5 + $G$74/(1+((C$126 + $A128*0.055)*$B$59 + $B$55*$B$60))^4.5 + ($G$74*(1+$H$41)/(((C$126 + $A128*0.055)*$B$59 + $B$55*$B$60)-$H$41))/(1+((C$126 + $A128*0.055)*$B$59 + $B$55*$B$60))^4.5) - $B$12)/$B$8</f>
        <v/>
      </c>
      <c r="D128" s="41">
        <f>(($C$74/(1+((D$126 + $A128*0.055)*$B$59 + $B$55*$B$60))^0.5 + $D$74/(1+((D$126 + $A128*0.055)*$B$59 + $B$55*$B$60))^1.5 + $E$74/(1+((D$126 + $A128*0.055)*$B$59 + $B$55*$B$60))^2.5 + $F$74/(1+((D$126 + $A128*0.055)*$B$59 + $B$55*$B$60))^3.5 + $G$74/(1+((D$126 + $A128*0.055)*$B$59 + $B$55*$B$60))^4.5 + ($G$74*(1+$H$41)/(((D$126 + $A128*0.055)*$B$59 + $B$55*$B$60)-$H$41))/(1+((D$126 + $A128*0.055)*$B$59 + $B$55*$B$60))^4.5) - $B$12)/$B$8</f>
        <v/>
      </c>
      <c r="E128" s="41">
        <f>(($C$74/(1+((E$126 + $A128*0.055)*$B$59 + $B$55*$B$60))^0.5 + $D$74/(1+((E$126 + $A128*0.055)*$B$59 + $B$55*$B$60))^1.5 + $E$74/(1+((E$126 + $A128*0.055)*$B$59 + $B$55*$B$60))^2.5 + $F$74/(1+((E$126 + $A128*0.055)*$B$59 + $B$55*$B$60))^3.5 + $G$74/(1+((E$126 + $A128*0.055)*$B$59 + $B$55*$B$60))^4.5 + ($G$74*(1+$H$41)/(((E$126 + $A128*0.055)*$B$59 + $B$55*$B$60)-$H$41))/(1+((E$126 + $A128*0.055)*$B$59 + $B$55*$B$60))^4.5) - $B$12)/$B$8</f>
        <v/>
      </c>
      <c r="F128" s="41">
        <f>(($C$74/(1+((F$126 + $A128*0.055)*$B$59 + $B$55*$B$60))^0.5 + $D$74/(1+((F$126 + $A128*0.055)*$B$59 + $B$55*$B$60))^1.5 + $E$74/(1+((F$126 + $A128*0.055)*$B$59 + $B$55*$B$60))^2.5 + $F$74/(1+((F$126 + $A128*0.055)*$B$59 + $B$55*$B$60))^3.5 + $G$74/(1+((F$126 + $A128*0.055)*$B$59 + $B$55*$B$60))^4.5 + ($G$74*(1+$H$41)/(((F$126 + $A128*0.055)*$B$59 + $B$55*$B$60)-$H$41))/(1+((F$126 + $A128*0.055)*$B$59 + $B$55*$B$60))^4.5) - $B$12)/$B$8</f>
        <v/>
      </c>
    </row>
    <row r="129">
      <c r="A129" s="49" t="n">
        <v>1.35</v>
      </c>
      <c r="B129" s="41">
        <f>(($C$74/(1+((B$126 + $A129*0.055)*$B$59 + $B$55*$B$60))^0.5 + $D$74/(1+((B$126 + $A129*0.055)*$B$59 + $B$55*$B$60))^1.5 + $E$74/(1+((B$126 + $A129*0.055)*$B$59 + $B$55*$B$60))^2.5 + $F$74/(1+((B$126 + $A129*0.055)*$B$59 + $B$55*$B$60))^3.5 + $G$74/(1+((B$126 + $A129*0.055)*$B$59 + $B$55*$B$60))^4.5 + ($G$74*(1+$H$41)/(((B$126 + $A129*0.055)*$B$59 + $B$55*$B$60)-$H$41))/(1+((B$126 + $A129*0.055)*$B$59 + $B$55*$B$60))^4.5) - $B$12)/$B$8</f>
        <v/>
      </c>
      <c r="C129" s="41">
        <f>(($C$74/(1+((C$126 + $A129*0.055)*$B$59 + $B$55*$B$60))^0.5 + $D$74/(1+((C$126 + $A129*0.055)*$B$59 + $B$55*$B$60))^1.5 + $E$74/(1+((C$126 + $A129*0.055)*$B$59 + $B$55*$B$60))^2.5 + $F$74/(1+((C$126 + $A129*0.055)*$B$59 + $B$55*$B$60))^3.5 + $G$74/(1+((C$126 + $A129*0.055)*$B$59 + $B$55*$B$60))^4.5 + ($G$74*(1+$H$41)/(((C$126 + $A129*0.055)*$B$59 + $B$55*$B$60)-$H$41))/(1+((C$126 + $A129*0.055)*$B$59 + $B$55*$B$60))^4.5) - $B$12)/$B$8</f>
        <v/>
      </c>
      <c r="D129" s="43">
        <f>(($C$74/(1+((D$126 + $A129*0.055)*$B$59 + $B$55*$B$60))^0.5 + $D$74/(1+((D$126 + $A129*0.055)*$B$59 + $B$55*$B$60))^1.5 + $E$74/(1+((D$126 + $A129*0.055)*$B$59 + $B$55*$B$60))^2.5 + $F$74/(1+((D$126 + $A129*0.055)*$B$59 + $B$55*$B$60))^3.5 + $G$74/(1+((D$126 + $A129*0.055)*$B$59 + $B$55*$B$60))^4.5 + ($G$74*(1+$H$41)/(((D$126 + $A129*0.055)*$B$59 + $B$55*$B$60)-$H$41))/(1+((D$126 + $A129*0.055)*$B$59 + $B$55*$B$60))^4.5) - $B$12)/$B$8</f>
        <v/>
      </c>
      <c r="E129" s="41">
        <f>(($C$74/(1+((E$126 + $A129*0.055)*$B$59 + $B$55*$B$60))^0.5 + $D$74/(1+((E$126 + $A129*0.055)*$B$59 + $B$55*$B$60))^1.5 + $E$74/(1+((E$126 + $A129*0.055)*$B$59 + $B$55*$B$60))^2.5 + $F$74/(1+((E$126 + $A129*0.055)*$B$59 + $B$55*$B$60))^3.5 + $G$74/(1+((E$126 + $A129*0.055)*$B$59 + $B$55*$B$60))^4.5 + ($G$74*(1+$H$41)/(((E$126 + $A129*0.055)*$B$59 + $B$55*$B$60)-$H$41))/(1+((E$126 + $A129*0.055)*$B$59 + $B$55*$B$60))^4.5) - $B$12)/$B$8</f>
        <v/>
      </c>
      <c r="F129" s="41">
        <f>(($C$74/(1+((F$126 + $A129*0.055)*$B$59 + $B$55*$B$60))^0.5 + $D$74/(1+((F$126 + $A129*0.055)*$B$59 + $B$55*$B$60))^1.5 + $E$74/(1+((F$126 + $A129*0.055)*$B$59 + $B$55*$B$60))^2.5 + $F$74/(1+((F$126 + $A129*0.055)*$B$59 + $B$55*$B$60))^3.5 + $G$74/(1+((F$126 + $A129*0.055)*$B$59 + $B$55*$B$60))^4.5 + ($G$74*(1+$H$41)/(((F$126 + $A129*0.055)*$B$59 + $B$55*$B$60)-$H$41))/(1+((F$126 + $A129*0.055)*$B$59 + $B$55*$B$60))^4.5) - $B$12)/$B$8</f>
        <v/>
      </c>
    </row>
    <row r="130">
      <c r="A130" s="48" t="n">
        <v>1.45</v>
      </c>
      <c r="B130" s="41">
        <f>(($C$74/(1+((B$126 + $A130*0.055)*$B$59 + $B$55*$B$60))^0.5 + $D$74/(1+((B$126 + $A130*0.055)*$B$59 + $B$55*$B$60))^1.5 + $E$74/(1+((B$126 + $A130*0.055)*$B$59 + $B$55*$B$60))^2.5 + $F$74/(1+((B$126 + $A130*0.055)*$B$59 + $B$55*$B$60))^3.5 + $G$74/(1+((B$126 + $A130*0.055)*$B$59 + $B$55*$B$60))^4.5 + ($G$74*(1+$H$41)/(((B$126 + $A130*0.055)*$B$59 + $B$55*$B$60)-$H$41))/(1+((B$126 + $A130*0.055)*$B$59 + $B$55*$B$60))^4.5) - $B$12)/$B$8</f>
        <v/>
      </c>
      <c r="C130" s="41">
        <f>(($C$74/(1+((C$126 + $A130*0.055)*$B$59 + $B$55*$B$60))^0.5 + $D$74/(1+((C$126 + $A130*0.055)*$B$59 + $B$55*$B$60))^1.5 + $E$74/(1+((C$126 + $A130*0.055)*$B$59 + $B$55*$B$60))^2.5 + $F$74/(1+((C$126 + $A130*0.055)*$B$59 + $B$55*$B$60))^3.5 + $G$74/(1+((C$126 + $A130*0.055)*$B$59 + $B$55*$B$60))^4.5 + ($G$74*(1+$H$41)/(((C$126 + $A130*0.055)*$B$59 + $B$55*$B$60)-$H$41))/(1+((C$126 + $A130*0.055)*$B$59 + $B$55*$B$60))^4.5) - $B$12)/$B$8</f>
        <v/>
      </c>
      <c r="D130" s="41">
        <f>(($C$74/(1+((D$126 + $A130*0.055)*$B$59 + $B$55*$B$60))^0.5 + $D$74/(1+((D$126 + $A130*0.055)*$B$59 + $B$55*$B$60))^1.5 + $E$74/(1+((D$126 + $A130*0.055)*$B$59 + $B$55*$B$60))^2.5 + $F$74/(1+((D$126 + $A130*0.055)*$B$59 + $B$55*$B$60))^3.5 + $G$74/(1+((D$126 + $A130*0.055)*$B$59 + $B$55*$B$60))^4.5 + ($G$74*(1+$H$41)/(((D$126 + $A130*0.055)*$B$59 + $B$55*$B$60)-$H$41))/(1+((D$126 + $A130*0.055)*$B$59 + $B$55*$B$60))^4.5) - $B$12)/$B$8</f>
        <v/>
      </c>
      <c r="E130" s="41">
        <f>(($C$74/(1+((E$126 + $A130*0.055)*$B$59 + $B$55*$B$60))^0.5 + $D$74/(1+((E$126 + $A130*0.055)*$B$59 + $B$55*$B$60))^1.5 + $E$74/(1+((E$126 + $A130*0.055)*$B$59 + $B$55*$B$60))^2.5 + $F$74/(1+((E$126 + $A130*0.055)*$B$59 + $B$55*$B$60))^3.5 + $G$74/(1+((E$126 + $A130*0.055)*$B$59 + $B$55*$B$60))^4.5 + ($G$74*(1+$H$41)/(((E$126 + $A130*0.055)*$B$59 + $B$55*$B$60)-$H$41))/(1+((E$126 + $A130*0.055)*$B$59 + $B$55*$B$60))^4.5) - $B$12)/$B$8</f>
        <v/>
      </c>
      <c r="F130" s="41">
        <f>(($C$74/(1+((F$126 + $A130*0.055)*$B$59 + $B$55*$B$60))^0.5 + $D$74/(1+((F$126 + $A130*0.055)*$B$59 + $B$55*$B$60))^1.5 + $E$74/(1+((F$126 + $A130*0.055)*$B$59 + $B$55*$B$60))^2.5 + $F$74/(1+((F$126 + $A130*0.055)*$B$59 + $B$55*$B$60))^3.5 + $G$74/(1+((F$126 + $A130*0.055)*$B$59 + $B$55*$B$60))^4.5 + ($G$74*(1+$H$41)/(((F$126 + $A130*0.055)*$B$59 + $B$55*$B$60)-$H$41))/(1+((F$126 + $A130*0.055)*$B$59 + $B$55*$B$60))^4.5) - $B$12)/$B$8</f>
        <v/>
      </c>
    </row>
    <row r="131">
      <c r="A131" s="48" t="n">
        <v>1.55</v>
      </c>
      <c r="B131" s="41">
        <f>(($C$74/(1+((B$126 + $A131*0.055)*$B$59 + $B$55*$B$60))^0.5 + $D$74/(1+((B$126 + $A131*0.055)*$B$59 + $B$55*$B$60))^1.5 + $E$74/(1+((B$126 + $A131*0.055)*$B$59 + $B$55*$B$60))^2.5 + $F$74/(1+((B$126 + $A131*0.055)*$B$59 + $B$55*$B$60))^3.5 + $G$74/(1+((B$126 + $A131*0.055)*$B$59 + $B$55*$B$60))^4.5 + ($G$74*(1+$H$41)/(((B$126 + $A131*0.055)*$B$59 + $B$55*$B$60)-$H$41))/(1+((B$126 + $A131*0.055)*$B$59 + $B$55*$B$60))^4.5) - $B$12)/$B$8</f>
        <v/>
      </c>
      <c r="C131" s="41">
        <f>(($C$74/(1+((C$126 + $A131*0.055)*$B$59 + $B$55*$B$60))^0.5 + $D$74/(1+((C$126 + $A131*0.055)*$B$59 + $B$55*$B$60))^1.5 + $E$74/(1+((C$126 + $A131*0.055)*$B$59 + $B$55*$B$60))^2.5 + $F$74/(1+((C$126 + $A131*0.055)*$B$59 + $B$55*$B$60))^3.5 + $G$74/(1+((C$126 + $A131*0.055)*$B$59 + $B$55*$B$60))^4.5 + ($G$74*(1+$H$41)/(((C$126 + $A131*0.055)*$B$59 + $B$55*$B$60)-$H$41))/(1+((C$126 + $A131*0.055)*$B$59 + $B$55*$B$60))^4.5) - $B$12)/$B$8</f>
        <v/>
      </c>
      <c r="D131" s="41">
        <f>(($C$74/(1+((D$126 + $A131*0.055)*$B$59 + $B$55*$B$60))^0.5 + $D$74/(1+((D$126 + $A131*0.055)*$B$59 + $B$55*$B$60))^1.5 + $E$74/(1+((D$126 + $A131*0.055)*$B$59 + $B$55*$B$60))^2.5 + $F$74/(1+((D$126 + $A131*0.055)*$B$59 + $B$55*$B$60))^3.5 + $G$74/(1+((D$126 + $A131*0.055)*$B$59 + $B$55*$B$60))^4.5 + ($G$74*(1+$H$41)/(((D$126 + $A131*0.055)*$B$59 + $B$55*$B$60)-$H$41))/(1+((D$126 + $A131*0.055)*$B$59 + $B$55*$B$60))^4.5) - $B$12)/$B$8</f>
        <v/>
      </c>
      <c r="E131" s="41">
        <f>(($C$74/(1+((E$126 + $A131*0.055)*$B$59 + $B$55*$B$60))^0.5 + $D$74/(1+((E$126 + $A131*0.055)*$B$59 + $B$55*$B$60))^1.5 + $E$74/(1+((E$126 + $A131*0.055)*$B$59 + $B$55*$B$60))^2.5 + $F$74/(1+((E$126 + $A131*0.055)*$B$59 + $B$55*$B$60))^3.5 + $G$74/(1+((E$126 + $A131*0.055)*$B$59 + $B$55*$B$60))^4.5 + ($G$74*(1+$H$41)/(((E$126 + $A131*0.055)*$B$59 + $B$55*$B$60)-$H$41))/(1+((E$126 + $A131*0.055)*$B$59 + $B$55*$B$60))^4.5) - $B$12)/$B$8</f>
        <v/>
      </c>
      <c r="F131" s="41">
        <f>(($C$74/(1+((F$126 + $A131*0.055)*$B$59 + $B$55*$B$60))^0.5 + $D$74/(1+((F$126 + $A131*0.055)*$B$59 + $B$55*$B$60))^1.5 + $E$74/(1+((F$126 + $A131*0.055)*$B$59 + $B$55*$B$60))^2.5 + $F$74/(1+((F$126 + $A131*0.055)*$B$59 + $B$55*$B$60))^3.5 + $G$74/(1+((F$126 + $A131*0.055)*$B$59 + $B$55*$B$60))^4.5 + ($G$74*(1+$H$41)/(((F$126 + $A131*0.055)*$B$59 + $B$55*$B$60)-$H$41))/(1+((F$126 + $A131*0.055)*$B$59 + $B$55*$B$60))^4.5) - $B$12)/$B$8</f>
        <v/>
      </c>
    </row>
  </sheetData>
  <mergeCells count="17">
    <mergeCell ref="A48:H48"/>
    <mergeCell ref="A92:H92"/>
    <mergeCell ref="A106:H106"/>
    <mergeCell ref="A83:H83"/>
    <mergeCell ref="C81:G81"/>
    <mergeCell ref="A20:H20"/>
    <mergeCell ref="A125:H125"/>
    <mergeCell ref="A63:H63"/>
    <mergeCell ref="A107:H107"/>
    <mergeCell ref="A40:H40"/>
    <mergeCell ref="A28:H28"/>
    <mergeCell ref="A76:H76"/>
    <mergeCell ref="A116:H116"/>
    <mergeCell ref="A84:H84"/>
    <mergeCell ref="A6:H6"/>
    <mergeCell ref="A22:H22"/>
    <mergeCell ref="A34:H3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2026-08-18T02:50:27Z</dcterms:created>
  <dcterms:modified xmlns:dcterms="http://purl.org/dc/terms/" xmlns:xsi="http://www.w3.org/2001/XMLSchema-instance" xsi:type="dcterms:W3CDTF">2026-08-18T02:50:27Z</dcterms:modified>
</cp:coreProperties>
</file>