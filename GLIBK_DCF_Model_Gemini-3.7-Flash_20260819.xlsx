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#,##0.0"/>
    <numFmt numFmtId="166" formatCode="$#,##0.0"/>
    <numFmt numFmtId="167" formatCode="0.0%"/>
    <numFmt numFmtId="168" formatCode="0.0"/>
    <numFmt numFmtId="169" formatCode="0.0000"/>
    <numFmt numFmtId="170" formatCode="+0.0%;-0.0%;0.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0206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41719C"/>
        <bgColor rgb="0041719C"/>
      </patternFill>
    </fill>
    <fill>
      <patternFill patternType="solid">
        <fgColor rgb="002F5597"/>
        <bgColor rgb="002F5597"/>
      </patternFill>
    </fill>
    <fill>
      <patternFill patternType="solid">
        <fgColor rgb="00EAECEE"/>
        <bgColor rgb="00EAECEE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0" borderId="0" pivotButton="0" quotePrefix="0" xfId="0"/>
    <xf numFmtId="164" fontId="5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0" fontId="4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6" borderId="2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0" fontId="3" fillId="5" borderId="0" pivotButton="0" quotePrefix="0" xfId="0"/>
    <xf numFmtId="10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4" fillId="7" borderId="2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7" fontId="4" fillId="7" borderId="2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right" vertical="center"/>
    </xf>
    <xf numFmtId="164" fontId="7" fillId="0" borderId="3" applyAlignment="1" pivotButton="0" quotePrefix="0" xfId="0">
      <alignment horizontal="right" vertical="center"/>
    </xf>
    <xf numFmtId="164" fontId="8" fillId="3" borderId="3" applyAlignment="1" pivotButton="0" quotePrefix="0" xfId="0">
      <alignment horizontal="right" vertical="center"/>
    </xf>
    <xf numFmtId="170" fontId="6" fillId="4" borderId="0" applyAlignment="1" pivotButton="0" quotePrefix="0" xfId="0">
      <alignment horizontal="right" vertical="center"/>
    </xf>
    <xf numFmtId="10" fontId="6" fillId="4" borderId="0" applyAlignment="1" pivotButton="0" quotePrefix="0" xfId="0">
      <alignment horizontal="right" vertical="center"/>
    </xf>
    <xf numFmtId="2" fontId="6" fillId="4" borderId="0" applyAlignment="1" pivotButton="0" quotePrefix="0" xfId="0">
      <alignment horizontal="right" vertical="center"/>
    </xf>
    <xf numFmtId="0" fontId="3" fillId="2" borderId="0" pivotButton="0" quotePrefix="0" xfId="0"/>
    <xf numFmtId="2" fontId="7" fillId="0" borderId="0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0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DCF Model Builder</author>
  </authors>
  <commentList>
    <comment ref="B5" authorId="0" shapeId="0">
      <text>
        <t>Case Selector:
1 = Bear Case
2 = Base Case (Default)
3 = Bull Case</t>
      </text>
    </comment>
    <comment ref="B9" authorId="0" shapeId="0">
      <text>
        <t>Source: NASDAQ GLIBK closing price, August 2026</t>
      </text>
    </comment>
    <comment ref="B10" authorId="0" shapeId="0">
      <text>
        <t>Source: SEC Form 10-Q Q2 2026 Page 2</t>
      </text>
    </comment>
    <comment ref="B12" authorId="0" shapeId="0">
      <text>
        <t>Source: SEC Form 10-Q Q2 2026 Balance Sheet</t>
      </text>
    </comment>
    <comment ref="B13" authorId="0" shapeId="0">
      <text>
        <t>Source: SEC Form 10-Q Q2 2026 Note 6 Debt</t>
      </text>
    </comment>
    <comment ref="B15" authorId="0" shapeId="0">
      <text>
        <t>Source: FY2025 10-K Income Tax Note &amp; Guidance</t>
      </text>
    </comment>
    <comment ref="B20" authorId="0" shapeId="0">
      <text>
        <t>Source: Conservative downside scenario</t>
      </text>
    </comment>
    <comment ref="B21" authorId="0" shapeId="0">
      <text>
        <t>Source: Cost inflation &amp; pricing pressure</t>
      </text>
    </comment>
    <comment ref="B22" authorId="0" shapeId="0">
      <text>
        <t>Source: Historical baseline run-rate</t>
      </text>
    </comment>
    <comment ref="B23" authorId="0" shapeId="0">
      <text>
        <t>Source: Slower capex moderation</t>
      </text>
    </comment>
    <comment ref="B24" authorId="0" shapeId="0">
      <text>
        <t>Source: Working capital requirement</t>
      </text>
    </comment>
    <comment ref="B25" authorId="0" shapeId="0">
      <text>
        <t>Source: Higher risk premium / higher beta case (8.5%)</t>
      </text>
    </comment>
    <comment ref="B26" authorId="0" shapeId="0">
      <text>
        <t>Source: Slower population growth in Alaska (1.5%)</t>
      </text>
    </comment>
    <comment ref="B30" authorId="0" shapeId="0">
      <text>
        <t>Source: Base growth + Quintillion integration</t>
      </text>
    </comment>
    <comment ref="B31" authorId="0" shapeId="0">
      <text>
        <t>Source: Broadband operating leverage</t>
      </text>
    </comment>
    <comment ref="B32" authorId="0" shapeId="0">
      <text>
        <t>Source: Normalized asset useful life</t>
      </text>
    </comment>
    <comment ref="B33" authorId="0" shapeId="0">
      <text>
        <t>Source: 2026 peak capex guidance ($290M) normalizing down</t>
      </text>
    </comment>
    <comment ref="B34" authorId="0" shapeId="0">
      <text>
        <t>Source: Low working capital intensity</t>
      </text>
    </comment>
    <comment ref="B35" authorId="0" shapeId="0">
      <text>
        <t>Source: CAPM (Rf 4.25%, Beta 1.05, ERP 5.5%, Kd 4.94% after-tax -&gt; WACC 8.0%)</t>
      </text>
    </comment>
    <comment ref="B36" authorId="0" shapeId="0">
      <text>
        <t>Source: Long-term GDP/telecom infrastructure growth rate (2.0%)</t>
      </text>
    </comment>
    <comment ref="B40" authorId="0" shapeId="0">
      <text>
        <t>Source: Arctic fiber expansion &amp; defense contract wins</t>
      </text>
    </comment>
    <comment ref="B41" authorId="0" shapeId="0">
      <text>
        <t>Source: High-margin enterprise and fiber data surge</t>
      </text>
    </comment>
    <comment ref="B42" authorId="0" shapeId="0">
      <text>
        <t>Source: Rapid scale reduces D&amp;A % of revenue</t>
      </text>
    </comment>
    <comment ref="B43" authorId="0" shapeId="0">
      <text>
        <t>Source: High capital efficiency</t>
      </text>
    </comment>
    <comment ref="B44" authorId="0" shapeId="0">
      <text>
        <t>Source: Working capital requirement</t>
      </text>
    </comment>
    <comment ref="B45" authorId="0" shapeId="0">
      <text>
        <t>Source: Lower risk premium case (7.5%)</t>
      </text>
    </comment>
    <comment ref="B46" authorId="0" shapeId="0">
      <text>
        <t>Source: High-growth data corridor assumption (2.5%)</t>
      </text>
    </comment>
    <comment ref="B60" authorId="0" shapeId="0">
      <text>
        <t>Source: FY2025 Form 10-K Consolidated Statements of Operations</t>
      </text>
    </comment>
    <comment ref="B62" authorId="0" shapeId="0">
      <text>
        <t>Source: FY2025 Form 10-K Normalized Operating Income (excluding non-cash goodwill impairment)</t>
      </text>
    </comment>
    <comment ref="B66" authorId="0" shapeId="0">
      <text>
        <t>Source: FY2025 Form 10-K Consolidated Statements of Cash Flows</t>
      </text>
    </comment>
    <comment ref="B67" authorId="0" shapeId="0">
      <text>
        <t>Source: FY2025 Form 10-K Consolidated Statements of Cash Flows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LIBERTY CAPITAL CORPORATION (NASDAQ: GLIBK)</t>
        </is>
      </c>
    </row>
    <row r="2">
      <c r="A2" s="2" t="inlineStr">
        <is>
          <t>Discounted Cash Flow (DCF) Valuation Model | Fiscal Year End: December 31 | Currency: USD in Millions (except per share)</t>
        </is>
      </c>
    </row>
    <row r="4">
      <c r="A4" s="3" t="inlineStr">
        <is>
          <t>1. SCENARIO CONTROLLER &amp; ACTIVE CASE SELECTOR</t>
        </is>
      </c>
      <c r="B4" s="3" t="n"/>
      <c r="C4" s="3" t="n"/>
      <c r="D4" s="3" t="n"/>
      <c r="E4" s="3" t="n"/>
      <c r="F4" s="3" t="n"/>
      <c r="G4" s="3" t="n"/>
    </row>
    <row r="5">
      <c r="A5" s="4" t="inlineStr">
        <is>
          <t>Select Active Scenario (1 = Bear, 2 = Base, 3 = Bull):</t>
        </is>
      </c>
      <c r="B5" s="5" t="n">
        <v>2</v>
      </c>
      <c r="C5" s="6" t="inlineStr">
        <is>
          <t>Active Case:</t>
        </is>
      </c>
      <c r="D5" s="4">
        <f>IF($B$5=1,"BEAR CASE (Conservative)",IF($B$5=2,"BASE CASE (Most Likely)","BULL CASE (Optimistic)"))</f>
        <v/>
      </c>
    </row>
    <row r="7">
      <c r="A7" s="3" t="inlineStr">
        <is>
          <t>2. MARKET DATA &amp; CAPITAL STRUCTURE</t>
        </is>
      </c>
      <c r="B7" s="3" t="n"/>
      <c r="C7" s="3" t="n"/>
      <c r="D7" s="3" t="n"/>
      <c r="E7" s="3" t="n"/>
      <c r="F7" s="3" t="n"/>
      <c r="G7" s="3" t="n"/>
    </row>
    <row r="8">
      <c r="A8" s="7" t="inlineStr">
        <is>
          <t>Metric / Parameter</t>
        </is>
      </c>
      <c r="B8" s="8" t="inlineStr">
        <is>
          <t>Value</t>
        </is>
      </c>
      <c r="C8" s="7" t="inlineStr">
        <is>
          <t>Unit</t>
        </is>
      </c>
      <c r="D8" s="7" t="inlineStr">
        <is>
          <t>Source &amp; Notes</t>
        </is>
      </c>
    </row>
    <row r="9">
      <c r="A9" s="9" t="inlineStr">
        <is>
          <t>Current Stock Price (Series C: GLIBK)</t>
        </is>
      </c>
      <c r="B9" s="10" t="n">
        <v>26.25</v>
      </c>
      <c r="C9" s="11" t="inlineStr">
        <is>
          <t>USD / Share</t>
        </is>
      </c>
      <c r="D9" s="11" t="inlineStr">
        <is>
          <t>Market quote as of August 2026</t>
        </is>
      </c>
    </row>
    <row r="10">
      <c r="A10" s="9" t="inlineStr">
        <is>
          <t>Diluted Shares Outstanding</t>
        </is>
      </c>
      <c r="B10" s="12" t="n">
        <v>39.9</v>
      </c>
      <c r="C10" s="11" t="inlineStr">
        <is>
          <t>Millions</t>
        </is>
      </c>
      <c r="D10" s="11" t="inlineStr">
        <is>
          <t>Series A, B, and C combined diluted shares</t>
        </is>
      </c>
    </row>
    <row r="11">
      <c r="A11" s="13" t="inlineStr">
        <is>
          <t>Implied Market Capitalization</t>
        </is>
      </c>
      <c r="B11" s="14">
        <f>B9*B10</f>
        <v/>
      </c>
      <c r="C11" s="11" t="inlineStr">
        <is>
          <t>$ Millions</t>
        </is>
      </c>
      <c r="D11" s="11" t="inlineStr">
        <is>
          <t>Calculated: Share Price × Shares Outstanding</t>
        </is>
      </c>
    </row>
    <row r="12">
      <c r="A12" s="9" t="inlineStr">
        <is>
          <t>Cash &amp; Cash Equivalents</t>
        </is>
      </c>
      <c r="B12" s="15" t="n">
        <v>497</v>
      </c>
      <c r="C12" s="11" t="inlineStr">
        <is>
          <t>$ Millions</t>
        </is>
      </c>
      <c r="D12" s="11" t="inlineStr">
        <is>
          <t>Balance sheet cash &amp; short-term investments</t>
        </is>
      </c>
    </row>
    <row r="13">
      <c r="A13" s="9" t="inlineStr">
        <is>
          <t>Total Debt (Senior Notes &amp; Term Loans)</t>
        </is>
      </c>
      <c r="B13" s="15" t="n">
        <v>1310</v>
      </c>
      <c r="C13" s="11" t="inlineStr">
        <is>
          <t>$ Millions</t>
        </is>
      </c>
      <c r="D13" s="11" t="inlineStr">
        <is>
          <t>Includes Senior Notes due 2028 and credit facility</t>
        </is>
      </c>
    </row>
    <row r="14">
      <c r="A14" s="13" t="inlineStr">
        <is>
          <t>Net Debt</t>
        </is>
      </c>
      <c r="B14" s="14">
        <f>B13-B12</f>
        <v/>
      </c>
      <c r="C14" s="11" t="inlineStr">
        <is>
          <t>$ Millions</t>
        </is>
      </c>
      <c r="D14" s="11" t="inlineStr">
        <is>
          <t>Calculated: Total Debt - Cash &amp; Equivalents</t>
        </is>
      </c>
    </row>
    <row r="15">
      <c r="A15" s="9" t="inlineStr">
        <is>
          <t>Effective Corporate Tax Rate</t>
        </is>
      </c>
      <c r="B15" s="16" t="n">
        <v>0.24</v>
      </c>
      <c r="C15" s="11" t="inlineStr">
        <is>
          <t>%</t>
        </is>
      </c>
      <c r="D15" s="11" t="inlineStr">
        <is>
          <t>Federal + State blended statutory tax rate</t>
        </is>
      </c>
    </row>
    <row r="17">
      <c r="A17" s="3" t="inlineStr">
        <is>
          <t>3. SCENARIO ASSUMPTION BLOCKS</t>
        </is>
      </c>
      <c r="B17" s="3" t="n"/>
      <c r="C17" s="3" t="n"/>
      <c r="D17" s="3" t="n"/>
      <c r="E17" s="3" t="n"/>
      <c r="F17" s="3" t="n"/>
      <c r="G17" s="3" t="n"/>
    </row>
    <row r="18">
      <c r="A18" s="17" t="inlineStr">
        <is>
          <t>SCENARIO 1: BEAR CASE ASSUMPTIONS</t>
        </is>
      </c>
      <c r="B18" s="17" t="n"/>
      <c r="C18" s="17" t="n"/>
      <c r="D18" s="17" t="n"/>
      <c r="E18" s="17" t="n"/>
      <c r="F18" s="17" t="n"/>
      <c r="G18" s="17" t="n"/>
    </row>
    <row r="19">
      <c r="A19" s="7" t="inlineStr">
        <is>
          <t>Assumption Driver</t>
        </is>
      </c>
      <c r="B19" s="8" t="inlineStr">
        <is>
          <t>FY2026E</t>
        </is>
      </c>
      <c r="C19" s="8" t="inlineStr">
        <is>
          <t>FY2027E</t>
        </is>
      </c>
      <c r="D19" s="8" t="inlineStr">
        <is>
          <t>FY2028E</t>
        </is>
      </c>
      <c r="E19" s="8" t="inlineStr">
        <is>
          <t>FY2029E</t>
        </is>
      </c>
      <c r="F19" s="8" t="inlineStr">
        <is>
          <t>FY2030E</t>
        </is>
      </c>
      <c r="G19" s="8" t="inlineStr">
        <is>
          <t>Terminal / Long-Term</t>
        </is>
      </c>
    </row>
    <row r="20">
      <c r="A20" s="9" t="inlineStr">
        <is>
          <t>Revenue Growth Rate (%)</t>
        </is>
      </c>
      <c r="B20" s="16" t="n">
        <v>0.01</v>
      </c>
      <c r="C20" s="16" t="n">
        <v>0.015</v>
      </c>
      <c r="D20" s="16" t="n">
        <v>0.015</v>
      </c>
      <c r="E20" s="16" t="n">
        <v>0.012</v>
      </c>
      <c r="F20" s="16" t="n">
        <v>0.01</v>
      </c>
    </row>
    <row r="21">
      <c r="A21" s="9" t="inlineStr">
        <is>
          <t>EBIT Margin (%)</t>
        </is>
      </c>
      <c r="B21" s="16" t="n">
        <v>0.105</v>
      </c>
      <c r="C21" s="16" t="n">
        <v>0.105</v>
      </c>
      <c r="D21" s="16" t="n">
        <v>0.108</v>
      </c>
      <c r="E21" s="16" t="n">
        <v>0.108</v>
      </c>
      <c r="F21" s="16" t="n">
        <v>0.11</v>
      </c>
    </row>
    <row r="22">
      <c r="A22" s="9" t="inlineStr">
        <is>
          <t>D&amp;A (% of Revenue)</t>
        </is>
      </c>
      <c r="B22" s="16" t="n">
        <v>0.245</v>
      </c>
      <c r="C22" s="16" t="n">
        <v>0.245</v>
      </c>
      <c r="D22" s="16" t="n">
        <v>0.245</v>
      </c>
      <c r="E22" s="16" t="n">
        <v>0.245</v>
      </c>
      <c r="F22" s="16" t="n">
        <v>0.245</v>
      </c>
    </row>
    <row r="23">
      <c r="A23" s="9" t="inlineStr">
        <is>
          <t>CapEx (% of Revenue)</t>
        </is>
      </c>
      <c r="B23" s="16" t="n">
        <v>0.275</v>
      </c>
      <c r="C23" s="16" t="n">
        <v>0.23</v>
      </c>
      <c r="D23" s="16" t="n">
        <v>0.2</v>
      </c>
      <c r="E23" s="16" t="n">
        <v>0.19</v>
      </c>
      <c r="F23" s="16" t="n">
        <v>0.185</v>
      </c>
    </row>
    <row r="24">
      <c r="A24" s="9" t="inlineStr">
        <is>
          <t>NWC (% of Revenue Change)</t>
        </is>
      </c>
      <c r="B24" s="16" t="n">
        <v>0.01</v>
      </c>
      <c r="C24" s="16" t="n">
        <v>0.01</v>
      </c>
      <c r="D24" s="16" t="n">
        <v>0.01</v>
      </c>
      <c r="E24" s="16" t="n">
        <v>0.01</v>
      </c>
      <c r="F24" s="16" t="n">
        <v>0.01</v>
      </c>
    </row>
    <row r="25">
      <c r="A25" s="9" t="inlineStr">
        <is>
          <t>Discount Rate (WACC) (%)</t>
        </is>
      </c>
      <c r="B25" s="18" t="n">
        <v>0.08500000000000001</v>
      </c>
    </row>
    <row r="26">
      <c r="A26" s="9" t="inlineStr">
        <is>
          <t>Terminal Growth Rate (g) (%)</t>
        </is>
      </c>
      <c r="B26" s="18" t="n">
        <v>0.015</v>
      </c>
    </row>
    <row r="28">
      <c r="A28" s="17" t="inlineStr">
        <is>
          <t>SCENARIO 2: BASE CASE ASSUMPTIONS (MANAGEMENT &amp; CONSENSUS ALIGNED)</t>
        </is>
      </c>
      <c r="B28" s="17" t="n"/>
      <c r="C28" s="17" t="n"/>
      <c r="D28" s="17" t="n"/>
      <c r="E28" s="17" t="n"/>
      <c r="F28" s="17" t="n"/>
      <c r="G28" s="17" t="n"/>
    </row>
    <row r="29">
      <c r="A29" s="7" t="inlineStr">
        <is>
          <t>Assumption Driver</t>
        </is>
      </c>
      <c r="B29" s="8" t="inlineStr">
        <is>
          <t>FY2026E</t>
        </is>
      </c>
      <c r="C29" s="8" t="inlineStr">
        <is>
          <t>FY2027E</t>
        </is>
      </c>
      <c r="D29" s="8" t="inlineStr">
        <is>
          <t>FY2028E</t>
        </is>
      </c>
      <c r="E29" s="8" t="inlineStr">
        <is>
          <t>FY2029E</t>
        </is>
      </c>
      <c r="F29" s="8" t="inlineStr">
        <is>
          <t>FY2030E</t>
        </is>
      </c>
      <c r="G29" s="8" t="inlineStr">
        <is>
          <t>Terminal / Long-Term</t>
        </is>
      </c>
    </row>
    <row r="30">
      <c r="A30" s="9" t="inlineStr">
        <is>
          <t>Revenue Growth Rate (%)</t>
        </is>
      </c>
      <c r="B30" s="16" t="n">
        <v>0.025</v>
      </c>
      <c r="C30" s="16" t="n">
        <v>0.035</v>
      </c>
      <c r="D30" s="16" t="n">
        <v>0.03</v>
      </c>
      <c r="E30" s="16" t="n">
        <v>0.025</v>
      </c>
      <c r="F30" s="16" t="n">
        <v>0.02</v>
      </c>
    </row>
    <row r="31">
      <c r="A31" s="9" t="inlineStr">
        <is>
          <t>EBIT Margin (%)</t>
        </is>
      </c>
      <c r="B31" s="16" t="n">
        <v>0.115</v>
      </c>
      <c r="C31" s="16" t="n">
        <v>0.12</v>
      </c>
      <c r="D31" s="16" t="n">
        <v>0.125</v>
      </c>
      <c r="E31" s="16" t="n">
        <v>0.128</v>
      </c>
      <c r="F31" s="16" t="n">
        <v>0.13</v>
      </c>
    </row>
    <row r="32">
      <c r="A32" s="9" t="inlineStr">
        <is>
          <t>D&amp;A (% of Revenue)</t>
        </is>
      </c>
      <c r="B32" s="16" t="n">
        <v>0.24</v>
      </c>
      <c r="C32" s="16" t="n">
        <v>0.235</v>
      </c>
      <c r="D32" s="16" t="n">
        <v>0.23</v>
      </c>
      <c r="E32" s="16" t="n">
        <v>0.225</v>
      </c>
      <c r="F32" s="16" t="n">
        <v>0.22</v>
      </c>
    </row>
    <row r="33">
      <c r="A33" s="9" t="inlineStr">
        <is>
          <t>CapEx (% of Revenue)</t>
        </is>
      </c>
      <c r="B33" s="16" t="n">
        <v>0.27</v>
      </c>
      <c r="C33" s="16" t="n">
        <v>0.21</v>
      </c>
      <c r="D33" s="16" t="n">
        <v>0.18</v>
      </c>
      <c r="E33" s="16" t="n">
        <v>0.17</v>
      </c>
      <c r="F33" s="16" t="n">
        <v>0.165</v>
      </c>
    </row>
    <row r="34">
      <c r="A34" s="9" t="inlineStr">
        <is>
          <t>NWC (% of Revenue Change)</t>
        </is>
      </c>
      <c r="B34" s="16" t="n">
        <v>0.01</v>
      </c>
      <c r="C34" s="16" t="n">
        <v>0.01</v>
      </c>
      <c r="D34" s="16" t="n">
        <v>0.01</v>
      </c>
      <c r="E34" s="16" t="n">
        <v>0.01</v>
      </c>
      <c r="F34" s="16" t="n">
        <v>0.01</v>
      </c>
    </row>
    <row r="35">
      <c r="A35" s="9" t="inlineStr">
        <is>
          <t>Discount Rate (WACC) (%)</t>
        </is>
      </c>
      <c r="B35" s="18" t="n">
        <v>0.08</v>
      </c>
    </row>
    <row r="36">
      <c r="A36" s="9" t="inlineStr">
        <is>
          <t>Terminal Growth Rate (g) (%)</t>
        </is>
      </c>
      <c r="B36" s="18" t="n">
        <v>0.02</v>
      </c>
    </row>
    <row r="38">
      <c r="A38" s="17" t="inlineStr">
        <is>
          <t>SCENARIO 3: BULL CASE ASSUMPTIONS</t>
        </is>
      </c>
      <c r="B38" s="17" t="n"/>
      <c r="C38" s="17" t="n"/>
      <c r="D38" s="17" t="n"/>
      <c r="E38" s="17" t="n"/>
      <c r="F38" s="17" t="n"/>
      <c r="G38" s="17" t="n"/>
    </row>
    <row r="39">
      <c r="A39" s="7" t="inlineStr">
        <is>
          <t>Assumption Driver</t>
        </is>
      </c>
      <c r="B39" s="8" t="inlineStr">
        <is>
          <t>FY2026E</t>
        </is>
      </c>
      <c r="C39" s="8" t="inlineStr">
        <is>
          <t>FY2027E</t>
        </is>
      </c>
      <c r="D39" s="8" t="inlineStr">
        <is>
          <t>FY2028E</t>
        </is>
      </c>
      <c r="E39" s="8" t="inlineStr">
        <is>
          <t>FY2029E</t>
        </is>
      </c>
      <c r="F39" s="8" t="inlineStr">
        <is>
          <t>FY2030E</t>
        </is>
      </c>
      <c r="G39" s="8" t="inlineStr">
        <is>
          <t>Terminal / Long-Term</t>
        </is>
      </c>
    </row>
    <row r="40">
      <c r="A40" s="9" t="inlineStr">
        <is>
          <t>Revenue Growth Rate (%)</t>
        </is>
      </c>
      <c r="B40" s="16" t="n">
        <v>0.04</v>
      </c>
      <c r="C40" s="16" t="n">
        <v>0.055</v>
      </c>
      <c r="D40" s="16" t="n">
        <v>0.045</v>
      </c>
      <c r="E40" s="16" t="n">
        <v>0.035</v>
      </c>
      <c r="F40" s="16" t="n">
        <v>0.03</v>
      </c>
    </row>
    <row r="41">
      <c r="A41" s="9" t="inlineStr">
        <is>
          <t>EBIT Margin (%)</t>
        </is>
      </c>
      <c r="B41" s="16" t="n">
        <v>0.125</v>
      </c>
      <c r="C41" s="16" t="n">
        <v>0.135</v>
      </c>
      <c r="D41" s="16" t="n">
        <v>0.14</v>
      </c>
      <c r="E41" s="16" t="n">
        <v>0.145</v>
      </c>
      <c r="F41" s="16" t="n">
        <v>0.15</v>
      </c>
    </row>
    <row r="42">
      <c r="A42" s="9" t="inlineStr">
        <is>
          <t>D&amp;A (% of Revenue)</t>
        </is>
      </c>
      <c r="B42" s="16" t="n">
        <v>0.235</v>
      </c>
      <c r="C42" s="16" t="n">
        <v>0.23</v>
      </c>
      <c r="D42" s="16" t="n">
        <v>0.225</v>
      </c>
      <c r="E42" s="16" t="n">
        <v>0.22</v>
      </c>
      <c r="F42" s="16" t="n">
        <v>0.215</v>
      </c>
    </row>
    <row r="43">
      <c r="A43" s="9" t="inlineStr">
        <is>
          <t>CapEx (% of Revenue)</t>
        </is>
      </c>
      <c r="B43" s="16" t="n">
        <v>0.265</v>
      </c>
      <c r="C43" s="16" t="n">
        <v>0.195</v>
      </c>
      <c r="D43" s="16" t="n">
        <v>0.165</v>
      </c>
      <c r="E43" s="16" t="n">
        <v>0.155</v>
      </c>
      <c r="F43" s="16" t="n">
        <v>0.15</v>
      </c>
    </row>
    <row r="44">
      <c r="A44" s="9" t="inlineStr">
        <is>
          <t>NWC (% of Revenue Change)</t>
        </is>
      </c>
      <c r="B44" s="16" t="n">
        <v>0.01</v>
      </c>
      <c r="C44" s="16" t="n">
        <v>0.01</v>
      </c>
      <c r="D44" s="16" t="n">
        <v>0.01</v>
      </c>
      <c r="E44" s="16" t="n">
        <v>0.01</v>
      </c>
      <c r="F44" s="16" t="n">
        <v>0.01</v>
      </c>
    </row>
    <row r="45">
      <c r="A45" s="9" t="inlineStr">
        <is>
          <t>Discount Rate (WACC) (%)</t>
        </is>
      </c>
      <c r="B45" s="18" t="n">
        <v>0.075</v>
      </c>
    </row>
    <row r="46">
      <c r="A46" s="9" t="inlineStr">
        <is>
          <t>Terminal Growth Rate (g) (%)</t>
        </is>
      </c>
      <c r="B46" s="18" t="n">
        <v>0.025</v>
      </c>
    </row>
    <row r="48">
      <c r="A48" s="3" t="inlineStr">
        <is>
          <t>ACTIVE CONSOLIDATED SCENARIO DRIVERS (CHOOSE DYNAMIC SELECTION)</t>
        </is>
      </c>
      <c r="B48" s="3" t="n"/>
      <c r="C48" s="3" t="n"/>
      <c r="D48" s="3" t="n"/>
      <c r="E48" s="3" t="n"/>
      <c r="F48" s="3" t="n"/>
      <c r="G48" s="3" t="n"/>
    </row>
    <row r="49">
      <c r="A49" s="7" t="inlineStr">
        <is>
          <t>Active Driver</t>
        </is>
      </c>
      <c r="B49" s="8" t="inlineStr">
        <is>
          <t>FY2026E</t>
        </is>
      </c>
      <c r="C49" s="8" t="inlineStr">
        <is>
          <t>FY2027E</t>
        </is>
      </c>
      <c r="D49" s="8" t="inlineStr">
        <is>
          <t>FY2028E</t>
        </is>
      </c>
      <c r="E49" s="8" t="inlineStr">
        <is>
          <t>FY2029E</t>
        </is>
      </c>
      <c r="F49" s="8" t="inlineStr">
        <is>
          <t>FY2030E</t>
        </is>
      </c>
      <c r="G49" s="8" t="inlineStr">
        <is>
          <t>Active Selection Logic</t>
        </is>
      </c>
    </row>
    <row r="50">
      <c r="A50" s="13" t="inlineStr">
        <is>
          <t>Active Revenue Growth Rate (%)</t>
        </is>
      </c>
      <c r="B50" s="19">
        <f>CHOOSE($B$5, B20, B30, B40)</f>
        <v/>
      </c>
      <c r="C50" s="19">
        <f>CHOOSE($B$5, C20, C30, C40)</f>
        <v/>
      </c>
      <c r="D50" s="19">
        <f>CHOOSE($B$5, D20, D30, D40)</f>
        <v/>
      </c>
      <c r="E50" s="19">
        <f>CHOOSE($B$5, E20, E30, E40)</f>
        <v/>
      </c>
      <c r="F50" s="19">
        <f>CHOOSE($B$5, F20, F30, F40)</f>
        <v/>
      </c>
      <c r="G50" s="2">
        <f>IF($B$5=1,"Bear Row 20",IF($B$5=2,"Base Row 30","Bull Row 40"))</f>
        <v/>
      </c>
    </row>
    <row r="51">
      <c r="A51" s="13" t="inlineStr">
        <is>
          <t>Active EBIT Margin (%)</t>
        </is>
      </c>
      <c r="B51" s="19">
        <f>CHOOSE($B$5, B21, B31, B41)</f>
        <v/>
      </c>
      <c r="C51" s="19">
        <f>CHOOSE($B$5, C21, C31, C41)</f>
        <v/>
      </c>
      <c r="D51" s="19">
        <f>CHOOSE($B$5, D21, D31, D41)</f>
        <v/>
      </c>
      <c r="E51" s="19">
        <f>CHOOSE($B$5, E21, E31, E41)</f>
        <v/>
      </c>
      <c r="F51" s="19">
        <f>CHOOSE($B$5, F21, F31, F41)</f>
        <v/>
      </c>
      <c r="G51" s="2">
        <f>IF($B$5=1,"Bear Row 21",IF($B$5=2,"Base Row 31","Bull Row 41"))</f>
        <v/>
      </c>
    </row>
    <row r="52">
      <c r="A52" s="13" t="inlineStr">
        <is>
          <t>Active D&amp;A (% of Revenue)</t>
        </is>
      </c>
      <c r="B52" s="19">
        <f>CHOOSE($B$5, B22, B32, B42)</f>
        <v/>
      </c>
      <c r="C52" s="19">
        <f>CHOOSE($B$5, C22, C32, C42)</f>
        <v/>
      </c>
      <c r="D52" s="19">
        <f>CHOOSE($B$5, D22, D32, D42)</f>
        <v/>
      </c>
      <c r="E52" s="19">
        <f>CHOOSE($B$5, E22, E32, E42)</f>
        <v/>
      </c>
      <c r="F52" s="19">
        <f>CHOOSE($B$5, F22, F32, F42)</f>
        <v/>
      </c>
      <c r="G52" s="2">
        <f>IF($B$5=1,"Bear Row 22",IF($B$5=2,"Base Row 32","Bull Row 42"))</f>
        <v/>
      </c>
    </row>
    <row r="53">
      <c r="A53" s="13" t="inlineStr">
        <is>
          <t>Active CapEx (% of Revenue)</t>
        </is>
      </c>
      <c r="B53" s="19">
        <f>CHOOSE($B$5, B23, B33, B43)</f>
        <v/>
      </c>
      <c r="C53" s="19">
        <f>CHOOSE($B$5, C23, C33, C43)</f>
        <v/>
      </c>
      <c r="D53" s="19">
        <f>CHOOSE($B$5, D23, D33, D43)</f>
        <v/>
      </c>
      <c r="E53" s="19">
        <f>CHOOSE($B$5, E23, E33, E43)</f>
        <v/>
      </c>
      <c r="F53" s="19">
        <f>CHOOSE($B$5, F23, F33, F43)</f>
        <v/>
      </c>
      <c r="G53" s="2">
        <f>IF($B$5=1,"Bear Row 23",IF($B$5=2,"Base Row 33","Bull Row 43"))</f>
        <v/>
      </c>
    </row>
    <row r="54">
      <c r="A54" s="13" t="inlineStr">
        <is>
          <t>Active NWC (% of ΔRev)</t>
        </is>
      </c>
      <c r="B54" s="19">
        <f>CHOOSE($B$5, B24, B34, B44)</f>
        <v/>
      </c>
      <c r="C54" s="19">
        <f>CHOOSE($B$5, C24, C34, C44)</f>
        <v/>
      </c>
      <c r="D54" s="19">
        <f>CHOOSE($B$5, D24, D34, D44)</f>
        <v/>
      </c>
      <c r="E54" s="19">
        <f>CHOOSE($B$5, E24, E34, E44)</f>
        <v/>
      </c>
      <c r="F54" s="19">
        <f>CHOOSE($B$5, F24, F34, F44)</f>
        <v/>
      </c>
      <c r="G54" s="2">
        <f>IF($B$5=1,"Bear Row 24",IF($B$5=2,"Base Row 34","Bull Row 44"))</f>
        <v/>
      </c>
    </row>
    <row r="55">
      <c r="A55" s="13" t="inlineStr">
        <is>
          <t>Active Discount Rate (WACC)</t>
        </is>
      </c>
      <c r="B55" s="20">
        <f>CHOOSE($B$5, B25, B35, B45)</f>
        <v/>
      </c>
    </row>
    <row r="56">
      <c r="A56" s="13" t="inlineStr">
        <is>
          <t>Active Terminal Growth Rate (g)</t>
        </is>
      </c>
      <c r="B56" s="20">
        <f>CHOOSE($B$5, B26, B36, B46)</f>
        <v/>
      </c>
    </row>
    <row r="58">
      <c r="A58" s="3" t="inlineStr">
        <is>
          <t>4. FINANCIAL PROJECTIONS &amp; UNLEVERED FREE CASH FLOW SCHEDULE ($ Millions)</t>
        </is>
      </c>
      <c r="B58" s="3" t="n"/>
      <c r="C58" s="3" t="n"/>
      <c r="D58" s="3" t="n"/>
      <c r="E58" s="3" t="n"/>
      <c r="F58" s="3" t="n"/>
      <c r="G58" s="3" t="n"/>
    </row>
    <row r="59">
      <c r="A59" s="7" t="inlineStr">
        <is>
          <t>Line Item ($M)</t>
        </is>
      </c>
      <c r="B59" s="8" t="inlineStr">
        <is>
          <t>FY2025A</t>
        </is>
      </c>
      <c r="C59" s="8" t="inlineStr">
        <is>
          <t>FY2026E</t>
        </is>
      </c>
      <c r="D59" s="8" t="inlineStr">
        <is>
          <t>FY2027E</t>
        </is>
      </c>
      <c r="E59" s="8" t="inlineStr">
        <is>
          <t>FY2028E</t>
        </is>
      </c>
      <c r="F59" s="8" t="inlineStr">
        <is>
          <t>FY2029E</t>
        </is>
      </c>
      <c r="G59" s="8" t="inlineStr">
        <is>
          <t>FY2030E</t>
        </is>
      </c>
    </row>
    <row r="60">
      <c r="A60" s="13" t="inlineStr">
        <is>
          <t>Revenue ($M)</t>
        </is>
      </c>
      <c r="B60" s="15" t="n">
        <v>1046</v>
      </c>
      <c r="C60" s="14">
        <f>B60*(1+B50)</f>
        <v/>
      </c>
      <c r="D60" s="14">
        <f>C60*(1+C50)</f>
        <v/>
      </c>
      <c r="E60" s="14">
        <f>D60*(1+D50)</f>
        <v/>
      </c>
      <c r="F60" s="14">
        <f>E60*(1+E50)</f>
        <v/>
      </c>
      <c r="G60" s="14">
        <f>F60*(1+F50)</f>
        <v/>
      </c>
    </row>
    <row r="61">
      <c r="A61" s="2" t="inlineStr">
        <is>
          <t xml:space="preserve">  YoY Revenue Growth (%)</t>
        </is>
      </c>
      <c r="B61" s="21" t="n">
        <v>0.0295</v>
      </c>
      <c r="C61" s="21">
        <f>C60/B60-1</f>
        <v/>
      </c>
      <c r="D61" s="21">
        <f>D60/C60-1</f>
        <v/>
      </c>
      <c r="E61" s="21">
        <f>E60/D60-1</f>
        <v/>
      </c>
      <c r="F61" s="21">
        <f>F60/E60-1</f>
        <v/>
      </c>
      <c r="G61" s="21">
        <f>G60/F60-1</f>
        <v/>
      </c>
    </row>
    <row r="62">
      <c r="A62" s="13" t="inlineStr">
        <is>
          <t>Operating Income / Adjusted EBIT ($M)</t>
        </is>
      </c>
      <c r="B62" s="15" t="n">
        <v>128</v>
      </c>
      <c r="C62" s="14">
        <f>C60*B51</f>
        <v/>
      </c>
      <c r="D62" s="14">
        <f>D60*C51</f>
        <v/>
      </c>
      <c r="E62" s="14">
        <f>E60*D51</f>
        <v/>
      </c>
      <c r="F62" s="14">
        <f>F60*E51</f>
        <v/>
      </c>
      <c r="G62" s="14">
        <f>G60*F51</f>
        <v/>
      </c>
    </row>
    <row r="63">
      <c r="A63" s="2" t="inlineStr">
        <is>
          <t xml:space="preserve">  EBIT Margin (%)</t>
        </is>
      </c>
      <c r="B63" s="21">
        <f>B62/B60</f>
        <v/>
      </c>
      <c r="C63" s="21">
        <f>C62/C60</f>
        <v/>
      </c>
      <c r="D63" s="21">
        <f>D62/D60</f>
        <v/>
      </c>
      <c r="E63" s="21">
        <f>E62/E60</f>
        <v/>
      </c>
      <c r="F63" s="21">
        <f>F62/F60</f>
        <v/>
      </c>
      <c r="G63" s="21">
        <f>G62/G60</f>
        <v/>
      </c>
    </row>
    <row r="64">
      <c r="A64" s="9" t="inlineStr">
        <is>
          <t>Less: Cash Taxes on EBIT ($M)</t>
        </is>
      </c>
      <c r="B64" s="22" t="inlineStr">
        <is>
          <t>—</t>
        </is>
      </c>
      <c r="C64" s="23">
        <f>C62*$B$15</f>
        <v/>
      </c>
      <c r="D64" s="23">
        <f>D62*$B$15</f>
        <v/>
      </c>
      <c r="E64" s="23">
        <f>E62*$B$15</f>
        <v/>
      </c>
      <c r="F64" s="23">
        <f>F62*$B$15</f>
        <v/>
      </c>
      <c r="G64" s="23">
        <f>G62*$B$15</f>
        <v/>
      </c>
    </row>
    <row r="65">
      <c r="A65" s="13" t="inlineStr">
        <is>
          <t>Net Operating Profit After Tax (NOPAT)</t>
        </is>
      </c>
      <c r="B65" s="22" t="inlineStr">
        <is>
          <t>—</t>
        </is>
      </c>
      <c r="C65" s="24">
        <f>C62-C64</f>
        <v/>
      </c>
      <c r="D65" s="24">
        <f>D62-D64</f>
        <v/>
      </c>
      <c r="E65" s="24">
        <f>E62-E64</f>
        <v/>
      </c>
      <c r="F65" s="24">
        <f>F62-F64</f>
        <v/>
      </c>
      <c r="G65" s="24">
        <f>G62-G64</f>
        <v/>
      </c>
    </row>
    <row r="66">
      <c r="A66" s="9" t="inlineStr">
        <is>
          <t>Plus: Depreciation &amp; Amortization (D&amp;A)</t>
        </is>
      </c>
      <c r="B66" s="15" t="n">
        <v>257</v>
      </c>
      <c r="C66" s="23">
        <f>C60*B52</f>
        <v/>
      </c>
      <c r="D66" s="23">
        <f>D60*C52</f>
        <v/>
      </c>
      <c r="E66" s="23">
        <f>E60*D52</f>
        <v/>
      </c>
      <c r="F66" s="23">
        <f>F60*E52</f>
        <v/>
      </c>
      <c r="G66" s="23">
        <f>G60*F52</f>
        <v/>
      </c>
    </row>
    <row r="67">
      <c r="A67" s="9" t="inlineStr">
        <is>
          <t>Less: Capital Expenditures (CapEx)</t>
        </is>
      </c>
      <c r="B67" s="15" t="n">
        <v>240</v>
      </c>
      <c r="C67" s="23">
        <f>C60*B53</f>
        <v/>
      </c>
      <c r="D67" s="23">
        <f>D60*C53</f>
        <v/>
      </c>
      <c r="E67" s="23">
        <f>E60*D53</f>
        <v/>
      </c>
      <c r="F67" s="23">
        <f>F60*E53</f>
        <v/>
      </c>
      <c r="G67" s="23">
        <f>G60*F53</f>
        <v/>
      </c>
    </row>
    <row r="68">
      <c r="A68" s="9" t="inlineStr">
        <is>
          <t>Less: Change in Net Working Capital (Δ NWC)</t>
        </is>
      </c>
      <c r="B68" s="22" t="inlineStr">
        <is>
          <t>—</t>
        </is>
      </c>
      <c r="C68" s="23">
        <f>(C60-B60)*B54</f>
        <v/>
      </c>
      <c r="D68" s="23">
        <f>(D60-C60)*C54</f>
        <v/>
      </c>
      <c r="E68" s="23">
        <f>(E60-D60)*D54</f>
        <v/>
      </c>
      <c r="F68" s="23">
        <f>(F60-E60)*E54</f>
        <v/>
      </c>
      <c r="G68" s="23">
        <f>(G60-F60)*F54</f>
        <v/>
      </c>
    </row>
    <row r="69">
      <c r="A69" s="13" t="inlineStr">
        <is>
          <t>Unlevered Free Cash Flow (UFCF)</t>
        </is>
      </c>
      <c r="B69" s="22" t="inlineStr">
        <is>
          <t>—</t>
        </is>
      </c>
      <c r="C69" s="25">
        <f>C65+C66-C67-C68</f>
        <v/>
      </c>
      <c r="D69" s="25">
        <f>D65+D66-D67-D68</f>
        <v/>
      </c>
      <c r="E69" s="25">
        <f>E65+E66-E67-E68</f>
        <v/>
      </c>
      <c r="F69" s="25">
        <f>F65+F66-F67-F68</f>
        <v/>
      </c>
      <c r="G69" s="25">
        <f>G65+G66-G67-G68</f>
        <v/>
      </c>
    </row>
    <row r="71">
      <c r="A71" s="3" t="inlineStr">
        <is>
          <t>5. DISCOUNTING &amp; PRESENT VALUE CALCULATION (MID-YEAR CONVENTION)</t>
        </is>
      </c>
      <c r="B71" s="3" t="n"/>
      <c r="C71" s="3" t="n"/>
      <c r="D71" s="3" t="n"/>
      <c r="E71" s="3" t="n"/>
      <c r="F71" s="3" t="n"/>
      <c r="G71" s="3" t="n"/>
    </row>
    <row r="72">
      <c r="A72" s="7" t="inlineStr">
        <is>
          <t>Discounting Parameter</t>
        </is>
      </c>
      <c r="B72" s="7" t="inlineStr"/>
      <c r="C72" s="8" t="inlineStr">
        <is>
          <t>FY2026E</t>
        </is>
      </c>
      <c r="D72" s="8" t="inlineStr">
        <is>
          <t>FY2027E</t>
        </is>
      </c>
      <c r="E72" s="8" t="inlineStr">
        <is>
          <t>FY2028E</t>
        </is>
      </c>
      <c r="F72" s="8" t="inlineStr">
        <is>
          <t>FY2029E</t>
        </is>
      </c>
      <c r="G72" s="8" t="inlineStr">
        <is>
          <t>FY2030E</t>
        </is>
      </c>
    </row>
    <row r="73">
      <c r="A73" s="9" t="inlineStr">
        <is>
          <t>Discount Period (Years - Mid-Year Convention)</t>
        </is>
      </c>
      <c r="C73" s="26" t="n">
        <v>0.5</v>
      </c>
      <c r="D73" s="26" t="n">
        <v>1.5</v>
      </c>
      <c r="E73" s="26" t="n">
        <v>2.5</v>
      </c>
      <c r="F73" s="26" t="n">
        <v>3.5</v>
      </c>
      <c r="G73" s="26" t="n">
        <v>4.5</v>
      </c>
    </row>
    <row r="74">
      <c r="A74" s="9" t="inlineStr">
        <is>
          <t>Discount Factor @ Active WACC</t>
        </is>
      </c>
      <c r="C74" s="27">
        <f>1/(1+$B$55)^C73</f>
        <v/>
      </c>
      <c r="D74" s="27">
        <f>1/(1+$B$55)^D73</f>
        <v/>
      </c>
      <c r="E74" s="27">
        <f>1/(1+$B$55)^E73</f>
        <v/>
      </c>
      <c r="F74" s="27">
        <f>1/(1+$B$55)^F73</f>
        <v/>
      </c>
      <c r="G74" s="27">
        <f>1/(1+$B$55)^G73</f>
        <v/>
      </c>
    </row>
    <row r="75">
      <c r="A75" s="13" t="inlineStr">
        <is>
          <t>Present Value of UFCF ($M)</t>
        </is>
      </c>
      <c r="C75" s="24">
        <f>C69*C74</f>
        <v/>
      </c>
      <c r="D75" s="24">
        <f>D69*D74</f>
        <v/>
      </c>
      <c r="E75" s="24">
        <f>E69*E74</f>
        <v/>
      </c>
      <c r="F75" s="24">
        <f>F69*F74</f>
        <v/>
      </c>
      <c r="G75" s="24">
        <f>G69*G74</f>
        <v/>
      </c>
    </row>
    <row r="76">
      <c r="A76" s="13" t="inlineStr">
        <is>
          <t>Cumulative PV of Explicit Forecast Period FCFs ($M)</t>
        </is>
      </c>
      <c r="C76" s="28">
        <f>SUM(C75:G75)</f>
        <v/>
      </c>
    </row>
    <row r="78">
      <c r="A78" s="3" t="inlineStr">
        <is>
          <t>6. TERMINAL VALUE &amp; VALUATION BRIDGE SUMMARY</t>
        </is>
      </c>
      <c r="B78" s="3" t="n"/>
      <c r="C78" s="3" t="n"/>
      <c r="D78" s="3" t="n"/>
      <c r="E78" s="3" t="n"/>
      <c r="F78" s="3" t="n"/>
      <c r="G78" s="3" t="n"/>
    </row>
    <row r="79">
      <c r="A79" s="29" t="inlineStr">
        <is>
          <t>Terminal Value Valuation (Gordon Growth Perpetuity)</t>
        </is>
      </c>
      <c r="B79" s="29" t="n"/>
      <c r="C79" s="29" t="n"/>
      <c r="E79" s="29" t="inlineStr">
        <is>
          <t>Enterprise Value to Equity Value Bridge</t>
        </is>
      </c>
      <c r="F79" s="29" t="n"/>
      <c r="G79" s="29" t="n"/>
    </row>
    <row r="80">
      <c r="A80" s="9" t="inlineStr">
        <is>
          <t>Final Projection Year UFCF (FY2030E)</t>
        </is>
      </c>
      <c r="B80" s="23">
        <f>G69</f>
        <v/>
      </c>
      <c r="E80" s="9" t="inlineStr">
        <is>
          <t>PV of Explicit FCFs (FY26E-FY30E)</t>
        </is>
      </c>
      <c r="F80" s="23">
        <f>C76</f>
        <v/>
      </c>
    </row>
    <row r="81">
      <c r="A81" s="9" t="inlineStr">
        <is>
          <t>Terminal Growth Rate (g)</t>
        </is>
      </c>
      <c r="B81" s="30">
        <f>$B$56</f>
        <v/>
      </c>
      <c r="E81" s="9" t="inlineStr">
        <is>
          <t>PV of Terminal Value (Gordon Growth)</t>
        </is>
      </c>
      <c r="F81" s="23">
        <f>B86</f>
        <v/>
      </c>
    </row>
    <row r="82">
      <c r="A82" s="9" t="inlineStr">
        <is>
          <t>Normalized Terminal FCF (Year 6)</t>
        </is>
      </c>
      <c r="B82" s="23">
        <f>B80*(1+B81)</f>
        <v/>
      </c>
      <c r="E82" s="13" t="inlineStr">
        <is>
          <t>Enterprise Value (EV)</t>
        </is>
      </c>
      <c r="F82" s="25">
        <f>F80+F81</f>
        <v/>
      </c>
    </row>
    <row r="83">
      <c r="A83" s="9" t="inlineStr">
        <is>
          <t>Active Discount Rate (WACC)</t>
        </is>
      </c>
      <c r="B83" s="30">
        <f>$B$55</f>
        <v/>
      </c>
      <c r="E83" s="9" t="inlineStr">
        <is>
          <t>Less: Total Debt</t>
        </is>
      </c>
      <c r="F83" s="23">
        <f>$B$13</f>
        <v/>
      </c>
    </row>
    <row r="84">
      <c r="A84" s="13" t="inlineStr">
        <is>
          <t>Terminal Value at FY2030E ($M)</t>
        </is>
      </c>
      <c r="B84" s="14">
        <f>B82/(B83-B81)</f>
        <v/>
      </c>
      <c r="E84" s="9" t="inlineStr">
        <is>
          <t>Plus: Cash &amp; Cash Equivalents</t>
        </is>
      </c>
      <c r="F84" s="23">
        <f>$B$12</f>
        <v/>
      </c>
    </row>
    <row r="85">
      <c r="A85" s="9" t="inlineStr">
        <is>
          <t>Terminal Value Discount Factor (Period = 5.0)</t>
        </is>
      </c>
      <c r="B85" s="27">
        <f>1/(1+B83)^5</f>
        <v/>
      </c>
      <c r="E85" s="9" t="inlineStr">
        <is>
          <t>Net Debt</t>
        </is>
      </c>
      <c r="F85" s="23">
        <f>F83-F84</f>
        <v/>
      </c>
    </row>
    <row r="86">
      <c r="A86" s="13" t="inlineStr">
        <is>
          <t>Present Value of Terminal Value ($M)</t>
        </is>
      </c>
      <c r="B86" s="28">
        <f>B84*B85</f>
        <v/>
      </c>
      <c r="E86" s="13" t="inlineStr">
        <is>
          <t>Implied Equity Value ($M)</t>
        </is>
      </c>
      <c r="F86" s="28">
        <f>F82-F85</f>
        <v/>
      </c>
    </row>
    <row r="87">
      <c r="A87" s="13" t="inlineStr">
        <is>
          <t>Terminal Value as % of Enterprise Value</t>
        </is>
      </c>
      <c r="B87" s="19">
        <f>B86/F82</f>
        <v/>
      </c>
      <c r="E87" s="9" t="inlineStr">
        <is>
          <t>Diluted Shares Outstanding (M)</t>
        </is>
      </c>
      <c r="F87" s="31">
        <f>$B$10</f>
        <v/>
      </c>
    </row>
    <row r="88">
      <c r="E88" s="13" t="inlineStr">
        <is>
          <t>Implied Fair Value per Share ($)</t>
        </is>
      </c>
      <c r="F88" s="32">
        <f>F86/F87</f>
        <v/>
      </c>
    </row>
    <row r="89">
      <c r="E89" s="9" t="inlineStr">
        <is>
          <t>Current Market Stock Price ($)</t>
        </is>
      </c>
      <c r="F89" s="33">
        <f>$B$9</f>
        <v/>
      </c>
    </row>
    <row r="90">
      <c r="E90" s="13" t="inlineStr">
        <is>
          <t>Implied Upside / (Downside) (%)</t>
        </is>
      </c>
      <c r="F90" s="34">
        <f>(F88/F89)-1</f>
        <v/>
      </c>
    </row>
    <row r="92">
      <c r="A92" s="3" t="inlineStr">
        <is>
          <t>7. INSTITUTIONAL 5×5 SENSITIVITY ANALYSIS MATRICES</t>
        </is>
      </c>
      <c r="B92" s="3" t="n"/>
      <c r="C92" s="3" t="n"/>
      <c r="D92" s="3" t="n"/>
      <c r="E92" s="3" t="n"/>
      <c r="F92" s="3" t="n"/>
      <c r="G92" s="3" t="n"/>
    </row>
    <row r="94">
      <c r="A94" s="29" t="inlineStr">
        <is>
          <t>TABLE 1: IMPLIED SHARE PRICE ($) — WACC VS. TERMINAL GROWTH RATE (g)</t>
        </is>
      </c>
    </row>
    <row r="95">
      <c r="A95" s="35" t="inlineStr">
        <is>
          <t>WACC \ g</t>
        </is>
      </c>
      <c r="B95" s="36" t="n">
        <v>0.01</v>
      </c>
      <c r="C95" s="36" t="n">
        <v>0.015</v>
      </c>
      <c r="D95" s="36" t="n">
        <v>0.02</v>
      </c>
      <c r="E95" s="36" t="n">
        <v>0.025</v>
      </c>
      <c r="F95" s="36" t="n">
        <v>0.03</v>
      </c>
    </row>
    <row r="96">
      <c r="A96" s="36" t="n">
        <v>0.07000000000000001</v>
      </c>
      <c r="B96" s="37">
        <f>(((C$69/(1+$A96)^0.5 + D$69/(1+$A96)^1.5 + E$69/(1+$A96)^2.5 + F$69/(1+$A96)^3.5 + G$69/(1+$A96)^4.5) + (G$69*(1+B$95)/($A96-B$95))/(1+$A96)^5) - $F$85) / $F$87</f>
        <v/>
      </c>
      <c r="C96" s="37">
        <f>(((C$69/(1+$A96)^0.5 + D$69/(1+$A96)^1.5 + E$69/(1+$A96)^2.5 + F$69/(1+$A96)^3.5 + G$69/(1+$A96)^4.5) + (G$69*(1+C$95)/($A96-C$95))/(1+$A96)^5) - $F$85) / $F$87</f>
        <v/>
      </c>
      <c r="D96" s="37">
        <f>(((C$69/(1+$A96)^0.5 + D$69/(1+$A96)^1.5 + E$69/(1+$A96)^2.5 + F$69/(1+$A96)^3.5 + G$69/(1+$A96)^4.5) + (G$69*(1+D$95)/($A96-D$95))/(1+$A96)^5) - $F$85) / $F$87</f>
        <v/>
      </c>
      <c r="E96" s="37">
        <f>(((C$69/(1+$A96)^0.5 + D$69/(1+$A96)^1.5 + E$69/(1+$A96)^2.5 + F$69/(1+$A96)^3.5 + G$69/(1+$A96)^4.5) + (G$69*(1+E$95)/($A96-E$95))/(1+$A96)^5) - $F$85) / $F$87</f>
        <v/>
      </c>
      <c r="F96" s="37">
        <f>(((C$69/(1+$A96)^0.5 + D$69/(1+$A96)^1.5 + E$69/(1+$A96)^2.5 + F$69/(1+$A96)^3.5 + G$69/(1+$A96)^4.5) + (G$69*(1+F$95)/($A96-F$95))/(1+$A96)^5) - $F$85) / $F$87</f>
        <v/>
      </c>
    </row>
    <row r="97">
      <c r="A97" s="36" t="n">
        <v>0.075</v>
      </c>
      <c r="B97" s="37">
        <f>(((C$69/(1+$A97)^0.5 + D$69/(1+$A97)^1.5 + E$69/(1+$A97)^2.5 + F$69/(1+$A97)^3.5 + G$69/(1+$A97)^4.5) + (G$69*(1+B$95)/($A97-B$95))/(1+$A97)^5) - $F$85) / $F$87</f>
        <v/>
      </c>
      <c r="C97" s="37">
        <f>(((C$69/(1+$A97)^0.5 + D$69/(1+$A97)^1.5 + E$69/(1+$A97)^2.5 + F$69/(1+$A97)^3.5 + G$69/(1+$A97)^4.5) + (G$69*(1+C$95)/($A97-C$95))/(1+$A97)^5) - $F$85) / $F$87</f>
        <v/>
      </c>
      <c r="D97" s="37">
        <f>(((C$69/(1+$A97)^0.5 + D$69/(1+$A97)^1.5 + E$69/(1+$A97)^2.5 + F$69/(1+$A97)^3.5 + G$69/(1+$A97)^4.5) + (G$69*(1+D$95)/($A97-D$95))/(1+$A97)^5) - $F$85) / $F$87</f>
        <v/>
      </c>
      <c r="E97" s="37">
        <f>(((C$69/(1+$A97)^0.5 + D$69/(1+$A97)^1.5 + E$69/(1+$A97)^2.5 + F$69/(1+$A97)^3.5 + G$69/(1+$A97)^4.5) + (G$69*(1+E$95)/($A97-E$95))/(1+$A97)^5) - $F$85) / $F$87</f>
        <v/>
      </c>
      <c r="F97" s="37">
        <f>(((C$69/(1+$A97)^0.5 + D$69/(1+$A97)^1.5 + E$69/(1+$A97)^2.5 + F$69/(1+$A97)^3.5 + G$69/(1+$A97)^4.5) + (G$69*(1+F$95)/($A97-F$95))/(1+$A97)^5) - $F$85) / $F$87</f>
        <v/>
      </c>
    </row>
    <row r="98">
      <c r="A98" s="36" t="n">
        <v>0.08</v>
      </c>
      <c r="B98" s="37">
        <f>(((C$69/(1+$A98)^0.5 + D$69/(1+$A98)^1.5 + E$69/(1+$A98)^2.5 + F$69/(1+$A98)^3.5 + G$69/(1+$A98)^4.5) + (G$69*(1+B$95)/($A98-B$95))/(1+$A98)^5) - $F$85) / $F$87</f>
        <v/>
      </c>
      <c r="C98" s="37">
        <f>(((C$69/(1+$A98)^0.5 + D$69/(1+$A98)^1.5 + E$69/(1+$A98)^2.5 + F$69/(1+$A98)^3.5 + G$69/(1+$A98)^4.5) + (G$69*(1+C$95)/($A98-C$95))/(1+$A98)^5) - $F$85) / $F$87</f>
        <v/>
      </c>
      <c r="D98" s="38">
        <f>(((C$69/(1+$A98)^0.5 + D$69/(1+$A98)^1.5 + E$69/(1+$A98)^2.5 + F$69/(1+$A98)^3.5 + G$69/(1+$A98)^4.5) + (G$69*(1+D$95)/($A98-D$95))/(1+$A98)^5) - $F$85) / $F$87</f>
        <v/>
      </c>
      <c r="E98" s="37">
        <f>(((C$69/(1+$A98)^0.5 + D$69/(1+$A98)^1.5 + E$69/(1+$A98)^2.5 + F$69/(1+$A98)^3.5 + G$69/(1+$A98)^4.5) + (G$69*(1+E$95)/($A98-E$95))/(1+$A98)^5) - $F$85) / $F$87</f>
        <v/>
      </c>
      <c r="F98" s="37">
        <f>(((C$69/(1+$A98)^0.5 + D$69/(1+$A98)^1.5 + E$69/(1+$A98)^2.5 + F$69/(1+$A98)^3.5 + G$69/(1+$A98)^4.5) + (G$69*(1+F$95)/($A98-F$95))/(1+$A98)^5) - $F$85) / $F$87</f>
        <v/>
      </c>
    </row>
    <row r="99">
      <c r="A99" s="36" t="n">
        <v>0.08500000000000001</v>
      </c>
      <c r="B99" s="37">
        <f>(((C$69/(1+$A99)^0.5 + D$69/(1+$A99)^1.5 + E$69/(1+$A99)^2.5 + F$69/(1+$A99)^3.5 + G$69/(1+$A99)^4.5) + (G$69*(1+B$95)/($A99-B$95))/(1+$A99)^5) - $F$85) / $F$87</f>
        <v/>
      </c>
      <c r="C99" s="37">
        <f>(((C$69/(1+$A99)^0.5 + D$69/(1+$A99)^1.5 + E$69/(1+$A99)^2.5 + F$69/(1+$A99)^3.5 + G$69/(1+$A99)^4.5) + (G$69*(1+C$95)/($A99-C$95))/(1+$A99)^5) - $F$85) / $F$87</f>
        <v/>
      </c>
      <c r="D99" s="37">
        <f>(((C$69/(1+$A99)^0.5 + D$69/(1+$A99)^1.5 + E$69/(1+$A99)^2.5 + F$69/(1+$A99)^3.5 + G$69/(1+$A99)^4.5) + (G$69*(1+D$95)/($A99-D$95))/(1+$A99)^5) - $F$85) / $F$87</f>
        <v/>
      </c>
      <c r="E99" s="37">
        <f>(((C$69/(1+$A99)^0.5 + D$69/(1+$A99)^1.5 + E$69/(1+$A99)^2.5 + F$69/(1+$A99)^3.5 + G$69/(1+$A99)^4.5) + (G$69*(1+E$95)/($A99-E$95))/(1+$A99)^5) - $F$85) / $F$87</f>
        <v/>
      </c>
      <c r="F99" s="37">
        <f>(((C$69/(1+$A99)^0.5 + D$69/(1+$A99)^1.5 + E$69/(1+$A99)^2.5 + F$69/(1+$A99)^3.5 + G$69/(1+$A99)^4.5) + (G$69*(1+F$95)/($A99-F$95))/(1+$A99)^5) - $F$85) / $F$87</f>
        <v/>
      </c>
    </row>
    <row r="100">
      <c r="A100" s="36" t="n">
        <v>0.09</v>
      </c>
      <c r="B100" s="37">
        <f>(((C$69/(1+$A100)^0.5 + D$69/(1+$A100)^1.5 + E$69/(1+$A100)^2.5 + F$69/(1+$A100)^3.5 + G$69/(1+$A100)^4.5) + (G$69*(1+B$95)/($A100-B$95))/(1+$A100)^5) - $F$85) / $F$87</f>
        <v/>
      </c>
      <c r="C100" s="37">
        <f>(((C$69/(1+$A100)^0.5 + D$69/(1+$A100)^1.5 + E$69/(1+$A100)^2.5 + F$69/(1+$A100)^3.5 + G$69/(1+$A100)^4.5) + (G$69*(1+C$95)/($A100-C$95))/(1+$A100)^5) - $F$85) / $F$87</f>
        <v/>
      </c>
      <c r="D100" s="37">
        <f>(((C$69/(1+$A100)^0.5 + D$69/(1+$A100)^1.5 + E$69/(1+$A100)^2.5 + F$69/(1+$A100)^3.5 + G$69/(1+$A100)^4.5) + (G$69*(1+D$95)/($A100-D$95))/(1+$A100)^5) - $F$85) / $F$87</f>
        <v/>
      </c>
      <c r="E100" s="37">
        <f>(((C$69/(1+$A100)^0.5 + D$69/(1+$A100)^1.5 + E$69/(1+$A100)^2.5 + F$69/(1+$A100)^3.5 + G$69/(1+$A100)^4.5) + (G$69*(1+E$95)/($A100-E$95))/(1+$A100)^5) - $F$85) / $F$87</f>
        <v/>
      </c>
      <c r="F100" s="37">
        <f>(((C$69/(1+$A100)^0.5 + D$69/(1+$A100)^1.5 + E$69/(1+$A100)^2.5 + F$69/(1+$A100)^3.5 + G$69/(1+$A100)^4.5) + (G$69*(1+F$95)/($A100-F$95))/(1+$A100)^5) - $F$85) / $F$87</f>
        <v/>
      </c>
    </row>
    <row r="103">
      <c r="A103" s="29" t="inlineStr">
        <is>
          <t>TABLE 2: IMPLIED SHARE PRICE ($) — EXIT EBIT MARGIN VS. REVENUE GROWTH DELTA</t>
        </is>
      </c>
    </row>
    <row r="104">
      <c r="A104" s="35" t="inlineStr">
        <is>
          <t>Exit EBIT Margin \ Growth Δ</t>
        </is>
      </c>
      <c r="B104" s="39" t="n">
        <v>-0.01</v>
      </c>
      <c r="C104" s="39" t="n">
        <v>-0.005</v>
      </c>
      <c r="D104" s="39" t="n">
        <v>0</v>
      </c>
      <c r="E104" s="39" t="n">
        <v>0.005</v>
      </c>
      <c r="F104" s="39" t="n">
        <v>0.01</v>
      </c>
    </row>
    <row r="105">
      <c r="A105" s="36" t="n">
        <v>0.11</v>
      </c>
      <c r="B105" s="37">
        <f>((( (C$60*(1+B$104))*($A105-0.015)*(1-$B$15) + (C$60*(1+B$104))*B$52 - (C$60*(1+B$104))*B$53 - ((C$60*(1+B$104))-B$60)*B$54 )/(1+$B$55)^0.5 +     ( (D$60*(1+B$104)^2)*($A105-0.010)*(1-$B$15) + (D$60*(1+B$104)^2)*C$52 - (D$60*(1+B$104)^2)*C$53 - ((D$60*(1+B$104)^2)-(C$60*(1+B$104)))*C$54 )/(1+$B$55)^1.5 +     ( (E$60*(1+B$104)^3)*($A105-0.005)*(1-$B$15) + (E$60*(1+B$104)^3)*D$52 - (E$60*(1+B$104)^3)*D$53 - ((E$60*(1+B$104)^3)-(D$60*(1+B$104)^2))*D$54 )/(1+$B$55)^2.5 +     ( (F$60*(1+B$104)^4)*($A105-0.002)*(1-$B$15) + (F$60*(1+B$104)^4)*E$52 - (F$60*(1+B$104)^4)*E$53 - ((F$60*(1+B$104)^4)-(E$60*(1+B$104)^3))*E$54 )/(1+$B$55)^3.5 +     ( (G$60*(1+B$104)^5)*($A105)*(1-$B$15) + (G$60*(1+B$104)^5)*F$52 - (G$60*(1+B$104)^5)*F$53 - ((G$60*(1+B$104)^5)-(F$60*(1+B$104)^4))*F$54 )/(1+$B$55)^4.5 ) +   ((( (G$60*(1+B$104)^5)*($A105)*(1-$B$15) + (G$60*(1+B$104)^5)*F$52 - (G$60*(1+B$104)^5)*F$53 - ((G$60*(1+B$104)^5)-(F$60*(1+B$104)^4))*F$54 )*(1+$B$56))/($B$55-$B$56))/(1+$B$55)^5 - $F$85) / $F$87</f>
        <v/>
      </c>
      <c r="C105" s="37">
        <f>((( (C$60*(1+C$104))*($A105-0.015)*(1-$B$15) + (C$60*(1+C$104))*B$52 - (C$60*(1+C$104))*B$53 - ((C$60*(1+C$104))-B$60)*B$54 )/(1+$B$55)^0.5 +     ( (D$60*(1+C$104)^2)*($A105-0.010)*(1-$B$15) + (D$60*(1+C$104)^2)*C$52 - (D$60*(1+C$104)^2)*C$53 - ((D$60*(1+C$104)^2)-(C$60*(1+C$104)))*C$54 )/(1+$B$55)^1.5 +     ( (E$60*(1+C$104)^3)*($A105-0.005)*(1-$B$15) + (E$60*(1+C$104)^3)*D$52 - (E$60*(1+C$104)^3)*D$53 - ((E$60*(1+C$104)^3)-(D$60*(1+C$104)^2))*D$54 )/(1+$B$55)^2.5 +     ( (F$60*(1+C$104)^4)*($A105-0.002)*(1-$B$15) + (F$60*(1+C$104)^4)*E$52 - (F$60*(1+C$104)^4)*E$53 - ((F$60*(1+C$104)^4)-(E$60*(1+C$104)^3))*E$54 )/(1+$B$55)^3.5 +     ( (G$60*(1+C$104)^5)*($A105)*(1-$B$15) + (G$60*(1+C$104)^5)*F$52 - (G$60*(1+C$104)^5)*F$53 - ((G$60*(1+C$104)^5)-(F$60*(1+C$104)^4))*F$54 )/(1+$B$55)^4.5 ) +   ((( (G$60*(1+C$104)^5)*($A105)*(1-$B$15) + (G$60*(1+C$104)^5)*F$52 - (G$60*(1+C$104)^5)*F$53 - ((G$60*(1+C$104)^5)-(F$60*(1+C$104)^4))*F$54 )*(1+$B$56))/($B$55-$B$56))/(1+$B$55)^5 - $F$85) / $F$87</f>
        <v/>
      </c>
      <c r="D105" s="37">
        <f>((( (C$60*(1+D$104))*($A105-0.015)*(1-$B$15) + (C$60*(1+D$104))*B$52 - (C$60*(1+D$104))*B$53 - ((C$60*(1+D$104))-B$60)*B$54 )/(1+$B$55)^0.5 +     ( (D$60*(1+D$104)^2)*($A105-0.010)*(1-$B$15) + (D$60*(1+D$104)^2)*C$52 - (D$60*(1+D$104)^2)*C$53 - ((D$60*(1+D$104)^2)-(C$60*(1+D$104)))*C$54 )/(1+$B$55)^1.5 +     ( (E$60*(1+D$104)^3)*($A105-0.005)*(1-$B$15) + (E$60*(1+D$104)^3)*D$52 - (E$60*(1+D$104)^3)*D$53 - ((E$60*(1+D$104)^3)-(D$60*(1+D$104)^2))*D$54 )/(1+$B$55)^2.5 +     ( (F$60*(1+D$104)^4)*($A105-0.002)*(1-$B$15) + (F$60*(1+D$104)^4)*E$52 - (F$60*(1+D$104)^4)*E$53 - ((F$60*(1+D$104)^4)-(E$60*(1+D$104)^3))*E$54 )/(1+$B$55)^3.5 +     ( (G$60*(1+D$104)^5)*($A105)*(1-$B$15) + (G$60*(1+D$104)^5)*F$52 - (G$60*(1+D$104)^5)*F$53 - ((G$60*(1+D$104)^5)-(F$60*(1+D$104)^4))*F$54 )/(1+$B$55)^4.5 ) +   ((( (G$60*(1+D$104)^5)*($A105)*(1-$B$15) + (G$60*(1+D$104)^5)*F$52 - (G$60*(1+D$104)^5)*F$53 - ((G$60*(1+D$104)^5)-(F$60*(1+D$104)^4))*F$54 )*(1+$B$56))/($B$55-$B$56))/(1+$B$55)^5 - $F$85) / $F$87</f>
        <v/>
      </c>
      <c r="E105" s="37">
        <f>((( (C$60*(1+E$104))*($A105-0.015)*(1-$B$15) + (C$60*(1+E$104))*B$52 - (C$60*(1+E$104))*B$53 - ((C$60*(1+E$104))-B$60)*B$54 )/(1+$B$55)^0.5 +     ( (D$60*(1+E$104)^2)*($A105-0.010)*(1-$B$15) + (D$60*(1+E$104)^2)*C$52 - (D$60*(1+E$104)^2)*C$53 - ((D$60*(1+E$104)^2)-(C$60*(1+E$104)))*C$54 )/(1+$B$55)^1.5 +     ( (E$60*(1+E$104)^3)*($A105-0.005)*(1-$B$15) + (E$60*(1+E$104)^3)*D$52 - (E$60*(1+E$104)^3)*D$53 - ((E$60*(1+E$104)^3)-(D$60*(1+E$104)^2))*D$54 )/(1+$B$55)^2.5 +     ( (F$60*(1+E$104)^4)*($A105-0.002)*(1-$B$15) + (F$60*(1+E$104)^4)*E$52 - (F$60*(1+E$104)^4)*E$53 - ((F$60*(1+E$104)^4)-(E$60*(1+E$104)^3))*E$54 )/(1+$B$55)^3.5 +     ( (G$60*(1+E$104)^5)*($A105)*(1-$B$15) + (G$60*(1+E$104)^5)*F$52 - (G$60*(1+E$104)^5)*F$53 - ((G$60*(1+E$104)^5)-(F$60*(1+E$104)^4))*F$54 )/(1+$B$55)^4.5 ) +   ((( (G$60*(1+E$104)^5)*($A105)*(1-$B$15) + (G$60*(1+E$104)^5)*F$52 - (G$60*(1+E$104)^5)*F$53 - ((G$60*(1+E$104)^5)-(F$60*(1+E$104)^4))*F$54 )*(1+$B$56))/($B$55-$B$56))/(1+$B$55)^5 - $F$85) / $F$87</f>
        <v/>
      </c>
      <c r="F105" s="37">
        <f>((( (C$60*(1+F$104))*($A105-0.015)*(1-$B$15) + (C$60*(1+F$104))*B$52 - (C$60*(1+F$104))*B$53 - ((C$60*(1+F$104))-B$60)*B$54 )/(1+$B$55)^0.5 +     ( (D$60*(1+F$104)^2)*($A105-0.010)*(1-$B$15) + (D$60*(1+F$104)^2)*C$52 - (D$60*(1+F$104)^2)*C$53 - ((D$60*(1+F$104)^2)-(C$60*(1+F$104)))*C$54 )/(1+$B$55)^1.5 +     ( (E$60*(1+F$104)^3)*($A105-0.005)*(1-$B$15) + (E$60*(1+F$104)^3)*D$52 - (E$60*(1+F$104)^3)*D$53 - ((E$60*(1+F$104)^3)-(D$60*(1+F$104)^2))*D$54 )/(1+$B$55)^2.5 +     ( (F$60*(1+F$104)^4)*($A105-0.002)*(1-$B$15) + (F$60*(1+F$104)^4)*E$52 - (F$60*(1+F$104)^4)*E$53 - ((F$60*(1+F$104)^4)-(E$60*(1+F$104)^3))*E$54 )/(1+$B$55)^3.5 +     ( (G$60*(1+F$104)^5)*($A105)*(1-$B$15) + (G$60*(1+F$104)^5)*F$52 - (G$60*(1+F$104)^5)*F$53 - ((G$60*(1+F$104)^5)-(F$60*(1+F$104)^4))*F$54 )/(1+$B$55)^4.5 ) +   ((( (G$60*(1+F$104)^5)*($A105)*(1-$B$15) + (G$60*(1+F$104)^5)*F$52 - (G$60*(1+F$104)^5)*F$53 - ((G$60*(1+F$104)^5)-(F$60*(1+F$104)^4))*F$54 )*(1+$B$56))/($B$55-$B$56))/(1+$B$55)^5 - $F$85) / $F$87</f>
        <v/>
      </c>
    </row>
    <row r="106">
      <c r="A106" s="36" t="n">
        <v>0.12</v>
      </c>
      <c r="B106" s="37">
        <f>((( (C$60*(1+B$104))*($A106-0.015)*(1-$B$15) + (C$60*(1+B$104))*B$52 - (C$60*(1+B$104))*B$53 - ((C$60*(1+B$104))-B$60)*B$54 )/(1+$B$55)^0.5 +     ( (D$60*(1+B$104)^2)*($A106-0.010)*(1-$B$15) + (D$60*(1+B$104)^2)*C$52 - (D$60*(1+B$104)^2)*C$53 - ((D$60*(1+B$104)^2)-(C$60*(1+B$104)))*C$54 )/(1+$B$55)^1.5 +     ( (E$60*(1+B$104)^3)*($A106-0.005)*(1-$B$15) + (E$60*(1+B$104)^3)*D$52 - (E$60*(1+B$104)^3)*D$53 - ((E$60*(1+B$104)^3)-(D$60*(1+B$104)^2))*D$54 )/(1+$B$55)^2.5 +     ( (F$60*(1+B$104)^4)*($A106-0.002)*(1-$B$15) + (F$60*(1+B$104)^4)*E$52 - (F$60*(1+B$104)^4)*E$53 - ((F$60*(1+B$104)^4)-(E$60*(1+B$104)^3))*E$54 )/(1+$B$55)^3.5 +     ( (G$60*(1+B$104)^5)*($A106)*(1-$B$15) + (G$60*(1+B$104)^5)*F$52 - (G$60*(1+B$104)^5)*F$53 - ((G$60*(1+B$104)^5)-(F$60*(1+B$104)^4))*F$54 )/(1+$B$55)^4.5 ) +   ((( (G$60*(1+B$104)^5)*($A106)*(1-$B$15) + (G$60*(1+B$104)^5)*F$52 - (G$60*(1+B$104)^5)*F$53 - ((G$60*(1+B$104)^5)-(F$60*(1+B$104)^4))*F$54 )*(1+$B$56))/($B$55-$B$56))/(1+$B$55)^5 - $F$85) / $F$87</f>
        <v/>
      </c>
      <c r="C106" s="37">
        <f>((( (C$60*(1+C$104))*($A106-0.015)*(1-$B$15) + (C$60*(1+C$104))*B$52 - (C$60*(1+C$104))*B$53 - ((C$60*(1+C$104))-B$60)*B$54 )/(1+$B$55)^0.5 +     ( (D$60*(1+C$104)^2)*($A106-0.010)*(1-$B$15) + (D$60*(1+C$104)^2)*C$52 - (D$60*(1+C$104)^2)*C$53 - ((D$60*(1+C$104)^2)-(C$60*(1+C$104)))*C$54 )/(1+$B$55)^1.5 +     ( (E$60*(1+C$104)^3)*($A106-0.005)*(1-$B$15) + (E$60*(1+C$104)^3)*D$52 - (E$60*(1+C$104)^3)*D$53 - ((E$60*(1+C$104)^3)-(D$60*(1+C$104)^2))*D$54 )/(1+$B$55)^2.5 +     ( (F$60*(1+C$104)^4)*($A106-0.002)*(1-$B$15) + (F$60*(1+C$104)^4)*E$52 - (F$60*(1+C$104)^4)*E$53 - ((F$60*(1+C$104)^4)-(E$60*(1+C$104)^3))*E$54 )/(1+$B$55)^3.5 +     ( (G$60*(1+C$104)^5)*($A106)*(1-$B$15) + (G$60*(1+C$104)^5)*F$52 - (G$60*(1+C$104)^5)*F$53 - ((G$60*(1+C$104)^5)-(F$60*(1+C$104)^4))*F$54 )/(1+$B$55)^4.5 ) +   ((( (G$60*(1+C$104)^5)*($A106)*(1-$B$15) + (G$60*(1+C$104)^5)*F$52 - (G$60*(1+C$104)^5)*F$53 - ((G$60*(1+C$104)^5)-(F$60*(1+C$104)^4))*F$54 )*(1+$B$56))/($B$55-$B$56))/(1+$B$55)^5 - $F$85) / $F$87</f>
        <v/>
      </c>
      <c r="D106" s="37">
        <f>((( (C$60*(1+D$104))*($A106-0.015)*(1-$B$15) + (C$60*(1+D$104))*B$52 - (C$60*(1+D$104))*B$53 - ((C$60*(1+D$104))-B$60)*B$54 )/(1+$B$55)^0.5 +     ( (D$60*(1+D$104)^2)*($A106-0.010)*(1-$B$15) + (D$60*(1+D$104)^2)*C$52 - (D$60*(1+D$104)^2)*C$53 - ((D$60*(1+D$104)^2)-(C$60*(1+D$104)))*C$54 )/(1+$B$55)^1.5 +     ( (E$60*(1+D$104)^3)*($A106-0.005)*(1-$B$15) + (E$60*(1+D$104)^3)*D$52 - (E$60*(1+D$104)^3)*D$53 - ((E$60*(1+D$104)^3)-(D$60*(1+D$104)^2))*D$54 )/(1+$B$55)^2.5 +     ( (F$60*(1+D$104)^4)*($A106-0.002)*(1-$B$15) + (F$60*(1+D$104)^4)*E$52 - (F$60*(1+D$104)^4)*E$53 - ((F$60*(1+D$104)^4)-(E$60*(1+D$104)^3))*E$54 )/(1+$B$55)^3.5 +     ( (G$60*(1+D$104)^5)*($A106)*(1-$B$15) + (G$60*(1+D$104)^5)*F$52 - (G$60*(1+D$104)^5)*F$53 - ((G$60*(1+D$104)^5)-(F$60*(1+D$104)^4))*F$54 )/(1+$B$55)^4.5 ) +   ((( (G$60*(1+D$104)^5)*($A106)*(1-$B$15) + (G$60*(1+D$104)^5)*F$52 - (G$60*(1+D$104)^5)*F$53 - ((G$60*(1+D$104)^5)-(F$60*(1+D$104)^4))*F$54 )*(1+$B$56))/($B$55-$B$56))/(1+$B$55)^5 - $F$85) / $F$87</f>
        <v/>
      </c>
      <c r="E106" s="37">
        <f>((( (C$60*(1+E$104))*($A106-0.015)*(1-$B$15) + (C$60*(1+E$104))*B$52 - (C$60*(1+E$104))*B$53 - ((C$60*(1+E$104))-B$60)*B$54 )/(1+$B$55)^0.5 +     ( (D$60*(1+E$104)^2)*($A106-0.010)*(1-$B$15) + (D$60*(1+E$104)^2)*C$52 - (D$60*(1+E$104)^2)*C$53 - ((D$60*(1+E$104)^2)-(C$60*(1+E$104)))*C$54 )/(1+$B$55)^1.5 +     ( (E$60*(1+E$104)^3)*($A106-0.005)*(1-$B$15) + (E$60*(1+E$104)^3)*D$52 - (E$60*(1+E$104)^3)*D$53 - ((E$60*(1+E$104)^3)-(D$60*(1+E$104)^2))*D$54 )/(1+$B$55)^2.5 +     ( (F$60*(1+E$104)^4)*($A106-0.002)*(1-$B$15) + (F$60*(1+E$104)^4)*E$52 - (F$60*(1+E$104)^4)*E$53 - ((F$60*(1+E$104)^4)-(E$60*(1+E$104)^3))*E$54 )/(1+$B$55)^3.5 +     ( (G$60*(1+E$104)^5)*($A106)*(1-$B$15) + (G$60*(1+E$104)^5)*F$52 - (G$60*(1+E$104)^5)*F$53 - ((G$60*(1+E$104)^5)-(F$60*(1+E$104)^4))*F$54 )/(1+$B$55)^4.5 ) +   ((( (G$60*(1+E$104)^5)*($A106)*(1-$B$15) + (G$60*(1+E$104)^5)*F$52 - (G$60*(1+E$104)^5)*F$53 - ((G$60*(1+E$104)^5)-(F$60*(1+E$104)^4))*F$54 )*(1+$B$56))/($B$55-$B$56))/(1+$B$55)^5 - $F$85) / $F$87</f>
        <v/>
      </c>
      <c r="F106" s="37">
        <f>((( (C$60*(1+F$104))*($A106-0.015)*(1-$B$15) + (C$60*(1+F$104))*B$52 - (C$60*(1+F$104))*B$53 - ((C$60*(1+F$104))-B$60)*B$54 )/(1+$B$55)^0.5 +     ( (D$60*(1+F$104)^2)*($A106-0.010)*(1-$B$15) + (D$60*(1+F$104)^2)*C$52 - (D$60*(1+F$104)^2)*C$53 - ((D$60*(1+F$104)^2)-(C$60*(1+F$104)))*C$54 )/(1+$B$55)^1.5 +     ( (E$60*(1+F$104)^3)*($A106-0.005)*(1-$B$15) + (E$60*(1+F$104)^3)*D$52 - (E$60*(1+F$104)^3)*D$53 - ((E$60*(1+F$104)^3)-(D$60*(1+F$104)^2))*D$54 )/(1+$B$55)^2.5 +     ( (F$60*(1+F$104)^4)*($A106-0.002)*(1-$B$15) + (F$60*(1+F$104)^4)*E$52 - (F$60*(1+F$104)^4)*E$53 - ((F$60*(1+F$104)^4)-(E$60*(1+F$104)^3))*E$54 )/(1+$B$55)^3.5 +     ( (G$60*(1+F$104)^5)*($A106)*(1-$B$15) + (G$60*(1+F$104)^5)*F$52 - (G$60*(1+F$104)^5)*F$53 - ((G$60*(1+F$104)^5)-(F$60*(1+F$104)^4))*F$54 )/(1+$B$55)^4.5 ) +   ((( (G$60*(1+F$104)^5)*($A106)*(1-$B$15) + (G$60*(1+F$104)^5)*F$52 - (G$60*(1+F$104)^5)*F$53 - ((G$60*(1+F$104)^5)-(F$60*(1+F$104)^4))*F$54 )*(1+$B$56))/($B$55-$B$56))/(1+$B$55)^5 - $F$85) / $F$87</f>
        <v/>
      </c>
    </row>
    <row r="107">
      <c r="A107" s="36" t="n">
        <v>0.13</v>
      </c>
      <c r="B107" s="37">
        <f>((( (C$60*(1+B$104))*($A107-0.015)*(1-$B$15) + (C$60*(1+B$104))*B$52 - (C$60*(1+B$104))*B$53 - ((C$60*(1+B$104))-B$60)*B$54 )/(1+$B$55)^0.5 +     ( (D$60*(1+B$104)^2)*($A107-0.010)*(1-$B$15) + (D$60*(1+B$104)^2)*C$52 - (D$60*(1+B$104)^2)*C$53 - ((D$60*(1+B$104)^2)-(C$60*(1+B$104)))*C$54 )/(1+$B$55)^1.5 +     ( (E$60*(1+B$104)^3)*($A107-0.005)*(1-$B$15) + (E$60*(1+B$104)^3)*D$52 - (E$60*(1+B$104)^3)*D$53 - ((E$60*(1+B$104)^3)-(D$60*(1+B$104)^2))*D$54 )/(1+$B$55)^2.5 +     ( (F$60*(1+B$104)^4)*($A107-0.002)*(1-$B$15) + (F$60*(1+B$104)^4)*E$52 - (F$60*(1+B$104)^4)*E$53 - ((F$60*(1+B$104)^4)-(E$60*(1+B$104)^3))*E$54 )/(1+$B$55)^3.5 +     ( (G$60*(1+B$104)^5)*($A107)*(1-$B$15) + (G$60*(1+B$104)^5)*F$52 - (G$60*(1+B$104)^5)*F$53 - ((G$60*(1+B$104)^5)-(F$60*(1+B$104)^4))*F$54 )/(1+$B$55)^4.5 ) +   ((( (G$60*(1+B$104)^5)*($A107)*(1-$B$15) + (G$60*(1+B$104)^5)*F$52 - (G$60*(1+B$104)^5)*F$53 - ((G$60*(1+B$104)^5)-(F$60*(1+B$104)^4))*F$54 )*(1+$B$56))/($B$55-$B$56))/(1+$B$55)^5 - $F$85) / $F$87</f>
        <v/>
      </c>
      <c r="C107" s="37">
        <f>((( (C$60*(1+C$104))*($A107-0.015)*(1-$B$15) + (C$60*(1+C$104))*B$52 - (C$60*(1+C$104))*B$53 - ((C$60*(1+C$104))-B$60)*B$54 )/(1+$B$55)^0.5 +     ( (D$60*(1+C$104)^2)*($A107-0.010)*(1-$B$15) + (D$60*(1+C$104)^2)*C$52 - (D$60*(1+C$104)^2)*C$53 - ((D$60*(1+C$104)^2)-(C$60*(1+C$104)))*C$54 )/(1+$B$55)^1.5 +     ( (E$60*(1+C$104)^3)*($A107-0.005)*(1-$B$15) + (E$60*(1+C$104)^3)*D$52 - (E$60*(1+C$104)^3)*D$53 - ((E$60*(1+C$104)^3)-(D$60*(1+C$104)^2))*D$54 )/(1+$B$55)^2.5 +     ( (F$60*(1+C$104)^4)*($A107-0.002)*(1-$B$15) + (F$60*(1+C$104)^4)*E$52 - (F$60*(1+C$104)^4)*E$53 - ((F$60*(1+C$104)^4)-(E$60*(1+C$104)^3))*E$54 )/(1+$B$55)^3.5 +     ( (G$60*(1+C$104)^5)*($A107)*(1-$B$15) + (G$60*(1+C$104)^5)*F$52 - (G$60*(1+C$104)^5)*F$53 - ((G$60*(1+C$104)^5)-(F$60*(1+C$104)^4))*F$54 )/(1+$B$55)^4.5 ) +   ((( (G$60*(1+C$104)^5)*($A107)*(1-$B$15) + (G$60*(1+C$104)^5)*F$52 - (G$60*(1+C$104)^5)*F$53 - ((G$60*(1+C$104)^5)-(F$60*(1+C$104)^4))*F$54 )*(1+$B$56))/($B$55-$B$56))/(1+$B$55)^5 - $F$85) / $F$87</f>
        <v/>
      </c>
      <c r="D107" s="38">
        <f>((( (C$60*(1+D$104))*($A107-0.015)*(1-$B$15) + (C$60*(1+D$104))*B$52 - (C$60*(1+D$104))*B$53 - ((C$60*(1+D$104))-B$60)*B$54 )/(1+$B$55)^0.5 +     ( (D$60*(1+D$104)^2)*($A107-0.010)*(1-$B$15) + (D$60*(1+D$104)^2)*C$52 - (D$60*(1+D$104)^2)*C$53 - ((D$60*(1+D$104)^2)-(C$60*(1+D$104)))*C$54 )/(1+$B$55)^1.5 +     ( (E$60*(1+D$104)^3)*($A107-0.005)*(1-$B$15) + (E$60*(1+D$104)^3)*D$52 - (E$60*(1+D$104)^3)*D$53 - ((E$60*(1+D$104)^3)-(D$60*(1+D$104)^2))*D$54 )/(1+$B$55)^2.5 +     ( (F$60*(1+D$104)^4)*($A107-0.002)*(1-$B$15) + (F$60*(1+D$104)^4)*E$52 - (F$60*(1+D$104)^4)*E$53 - ((F$60*(1+D$104)^4)-(E$60*(1+D$104)^3))*E$54 )/(1+$B$55)^3.5 +     ( (G$60*(1+D$104)^5)*($A107)*(1-$B$15) + (G$60*(1+D$104)^5)*F$52 - (G$60*(1+D$104)^5)*F$53 - ((G$60*(1+D$104)^5)-(F$60*(1+D$104)^4))*F$54 )/(1+$B$55)^4.5 ) +   ((( (G$60*(1+D$104)^5)*($A107)*(1-$B$15) + (G$60*(1+D$104)^5)*F$52 - (G$60*(1+D$104)^5)*F$53 - ((G$60*(1+D$104)^5)-(F$60*(1+D$104)^4))*F$54 )*(1+$B$56))/($B$55-$B$56))/(1+$B$55)^5 - $F$85) / $F$87</f>
        <v/>
      </c>
      <c r="E107" s="37">
        <f>((( (C$60*(1+E$104))*($A107-0.015)*(1-$B$15) + (C$60*(1+E$104))*B$52 - (C$60*(1+E$104))*B$53 - ((C$60*(1+E$104))-B$60)*B$54 )/(1+$B$55)^0.5 +     ( (D$60*(1+E$104)^2)*($A107-0.010)*(1-$B$15) + (D$60*(1+E$104)^2)*C$52 - (D$60*(1+E$104)^2)*C$53 - ((D$60*(1+E$104)^2)-(C$60*(1+E$104)))*C$54 )/(1+$B$55)^1.5 +     ( (E$60*(1+E$104)^3)*($A107-0.005)*(1-$B$15) + (E$60*(1+E$104)^3)*D$52 - (E$60*(1+E$104)^3)*D$53 - ((E$60*(1+E$104)^3)-(D$60*(1+E$104)^2))*D$54 )/(1+$B$55)^2.5 +     ( (F$60*(1+E$104)^4)*($A107-0.002)*(1-$B$15) + (F$60*(1+E$104)^4)*E$52 - (F$60*(1+E$104)^4)*E$53 - ((F$60*(1+E$104)^4)-(E$60*(1+E$104)^3))*E$54 )/(1+$B$55)^3.5 +     ( (G$60*(1+E$104)^5)*($A107)*(1-$B$15) + (G$60*(1+E$104)^5)*F$52 - (G$60*(1+E$104)^5)*F$53 - ((G$60*(1+E$104)^5)-(F$60*(1+E$104)^4))*F$54 )/(1+$B$55)^4.5 ) +   ((( (G$60*(1+E$104)^5)*($A107)*(1-$B$15) + (G$60*(1+E$104)^5)*F$52 - (G$60*(1+E$104)^5)*F$53 - ((G$60*(1+E$104)^5)-(F$60*(1+E$104)^4))*F$54 )*(1+$B$56))/($B$55-$B$56))/(1+$B$55)^5 - $F$85) / $F$87</f>
        <v/>
      </c>
      <c r="F107" s="37">
        <f>((( (C$60*(1+F$104))*($A107-0.015)*(1-$B$15) + (C$60*(1+F$104))*B$52 - (C$60*(1+F$104))*B$53 - ((C$60*(1+F$104))-B$60)*B$54 )/(1+$B$55)^0.5 +     ( (D$60*(1+F$104)^2)*($A107-0.010)*(1-$B$15) + (D$60*(1+F$104)^2)*C$52 - (D$60*(1+F$104)^2)*C$53 - ((D$60*(1+F$104)^2)-(C$60*(1+F$104)))*C$54 )/(1+$B$55)^1.5 +     ( (E$60*(1+F$104)^3)*($A107-0.005)*(1-$B$15) + (E$60*(1+F$104)^3)*D$52 - (E$60*(1+F$104)^3)*D$53 - ((E$60*(1+F$104)^3)-(D$60*(1+F$104)^2))*D$54 )/(1+$B$55)^2.5 +     ( (F$60*(1+F$104)^4)*($A107-0.002)*(1-$B$15) + (F$60*(1+F$104)^4)*E$52 - (F$60*(1+F$104)^4)*E$53 - ((F$60*(1+F$104)^4)-(E$60*(1+F$104)^3))*E$54 )/(1+$B$55)^3.5 +     ( (G$60*(1+F$104)^5)*($A107)*(1-$B$15) + (G$60*(1+F$104)^5)*F$52 - (G$60*(1+F$104)^5)*F$53 - ((G$60*(1+F$104)^5)-(F$60*(1+F$104)^4))*F$54 )/(1+$B$55)^4.5 ) +   ((( (G$60*(1+F$104)^5)*($A107)*(1-$B$15) + (G$60*(1+F$104)^5)*F$52 - (G$60*(1+F$104)^5)*F$53 - ((G$60*(1+F$104)^5)-(F$60*(1+F$104)^4))*F$54 )*(1+$B$56))/($B$55-$B$56))/(1+$B$55)^5 - $F$85) / $F$87</f>
        <v/>
      </c>
    </row>
    <row r="108">
      <c r="A108" s="36" t="n">
        <v>0.14</v>
      </c>
      <c r="B108" s="37">
        <f>((( (C$60*(1+B$104))*($A108-0.015)*(1-$B$15) + (C$60*(1+B$104))*B$52 - (C$60*(1+B$104))*B$53 - ((C$60*(1+B$104))-B$60)*B$54 )/(1+$B$55)^0.5 +     ( (D$60*(1+B$104)^2)*($A108-0.010)*(1-$B$15) + (D$60*(1+B$104)^2)*C$52 - (D$60*(1+B$104)^2)*C$53 - ((D$60*(1+B$104)^2)-(C$60*(1+B$104)))*C$54 )/(1+$B$55)^1.5 +     ( (E$60*(1+B$104)^3)*($A108-0.005)*(1-$B$15) + (E$60*(1+B$104)^3)*D$52 - (E$60*(1+B$104)^3)*D$53 - ((E$60*(1+B$104)^3)-(D$60*(1+B$104)^2))*D$54 )/(1+$B$55)^2.5 +     ( (F$60*(1+B$104)^4)*($A108-0.002)*(1-$B$15) + (F$60*(1+B$104)^4)*E$52 - (F$60*(1+B$104)^4)*E$53 - ((F$60*(1+B$104)^4)-(E$60*(1+B$104)^3))*E$54 )/(1+$B$55)^3.5 +     ( (G$60*(1+B$104)^5)*($A108)*(1-$B$15) + (G$60*(1+B$104)^5)*F$52 - (G$60*(1+B$104)^5)*F$53 - ((G$60*(1+B$104)^5)-(F$60*(1+B$104)^4))*F$54 )/(1+$B$55)^4.5 ) +   ((( (G$60*(1+B$104)^5)*($A108)*(1-$B$15) + (G$60*(1+B$104)^5)*F$52 - (G$60*(1+B$104)^5)*F$53 - ((G$60*(1+B$104)^5)-(F$60*(1+B$104)^4))*F$54 )*(1+$B$56))/($B$55-$B$56))/(1+$B$55)^5 - $F$85) / $F$87</f>
        <v/>
      </c>
      <c r="C108" s="37">
        <f>((( (C$60*(1+C$104))*($A108-0.015)*(1-$B$15) + (C$60*(1+C$104))*B$52 - (C$60*(1+C$104))*B$53 - ((C$60*(1+C$104))-B$60)*B$54 )/(1+$B$55)^0.5 +     ( (D$60*(1+C$104)^2)*($A108-0.010)*(1-$B$15) + (D$60*(1+C$104)^2)*C$52 - (D$60*(1+C$104)^2)*C$53 - ((D$60*(1+C$104)^2)-(C$60*(1+C$104)))*C$54 )/(1+$B$55)^1.5 +     ( (E$60*(1+C$104)^3)*($A108-0.005)*(1-$B$15) + (E$60*(1+C$104)^3)*D$52 - (E$60*(1+C$104)^3)*D$53 - ((E$60*(1+C$104)^3)-(D$60*(1+C$104)^2))*D$54 )/(1+$B$55)^2.5 +     ( (F$60*(1+C$104)^4)*($A108-0.002)*(1-$B$15) + (F$60*(1+C$104)^4)*E$52 - (F$60*(1+C$104)^4)*E$53 - ((F$60*(1+C$104)^4)-(E$60*(1+C$104)^3))*E$54 )/(1+$B$55)^3.5 +     ( (G$60*(1+C$104)^5)*($A108)*(1-$B$15) + (G$60*(1+C$104)^5)*F$52 - (G$60*(1+C$104)^5)*F$53 - ((G$60*(1+C$104)^5)-(F$60*(1+C$104)^4))*F$54 )/(1+$B$55)^4.5 ) +   ((( (G$60*(1+C$104)^5)*($A108)*(1-$B$15) + (G$60*(1+C$104)^5)*F$52 - (G$60*(1+C$104)^5)*F$53 - ((G$60*(1+C$104)^5)-(F$60*(1+C$104)^4))*F$54 )*(1+$B$56))/($B$55-$B$56))/(1+$B$55)^5 - $F$85) / $F$87</f>
        <v/>
      </c>
      <c r="D108" s="37">
        <f>((( (C$60*(1+D$104))*($A108-0.015)*(1-$B$15) + (C$60*(1+D$104))*B$52 - (C$60*(1+D$104))*B$53 - ((C$60*(1+D$104))-B$60)*B$54 )/(1+$B$55)^0.5 +     ( (D$60*(1+D$104)^2)*($A108-0.010)*(1-$B$15) + (D$60*(1+D$104)^2)*C$52 - (D$60*(1+D$104)^2)*C$53 - ((D$60*(1+D$104)^2)-(C$60*(1+D$104)))*C$54 )/(1+$B$55)^1.5 +     ( (E$60*(1+D$104)^3)*($A108-0.005)*(1-$B$15) + (E$60*(1+D$104)^3)*D$52 - (E$60*(1+D$104)^3)*D$53 - ((E$60*(1+D$104)^3)-(D$60*(1+D$104)^2))*D$54 )/(1+$B$55)^2.5 +     ( (F$60*(1+D$104)^4)*($A108-0.002)*(1-$B$15) + (F$60*(1+D$104)^4)*E$52 - (F$60*(1+D$104)^4)*E$53 - ((F$60*(1+D$104)^4)-(E$60*(1+D$104)^3))*E$54 )/(1+$B$55)^3.5 +     ( (G$60*(1+D$104)^5)*($A108)*(1-$B$15) + (G$60*(1+D$104)^5)*F$52 - (G$60*(1+D$104)^5)*F$53 - ((G$60*(1+D$104)^5)-(F$60*(1+D$104)^4))*F$54 )/(1+$B$55)^4.5 ) +   ((( (G$60*(1+D$104)^5)*($A108)*(1-$B$15) + (G$60*(1+D$104)^5)*F$52 - (G$60*(1+D$104)^5)*F$53 - ((G$60*(1+D$104)^5)-(F$60*(1+D$104)^4))*F$54 )*(1+$B$56))/($B$55-$B$56))/(1+$B$55)^5 - $F$85) / $F$87</f>
        <v/>
      </c>
      <c r="E108" s="37">
        <f>((( (C$60*(1+E$104))*($A108-0.015)*(1-$B$15) + (C$60*(1+E$104))*B$52 - (C$60*(1+E$104))*B$53 - ((C$60*(1+E$104))-B$60)*B$54 )/(1+$B$55)^0.5 +     ( (D$60*(1+E$104)^2)*($A108-0.010)*(1-$B$15) + (D$60*(1+E$104)^2)*C$52 - (D$60*(1+E$104)^2)*C$53 - ((D$60*(1+E$104)^2)-(C$60*(1+E$104)))*C$54 )/(1+$B$55)^1.5 +     ( (E$60*(1+E$104)^3)*($A108-0.005)*(1-$B$15) + (E$60*(1+E$104)^3)*D$52 - (E$60*(1+E$104)^3)*D$53 - ((E$60*(1+E$104)^3)-(D$60*(1+E$104)^2))*D$54 )/(1+$B$55)^2.5 +     ( (F$60*(1+E$104)^4)*($A108-0.002)*(1-$B$15) + (F$60*(1+E$104)^4)*E$52 - (F$60*(1+E$104)^4)*E$53 - ((F$60*(1+E$104)^4)-(E$60*(1+E$104)^3))*E$54 )/(1+$B$55)^3.5 +     ( (G$60*(1+E$104)^5)*($A108)*(1-$B$15) + (G$60*(1+E$104)^5)*F$52 - (G$60*(1+E$104)^5)*F$53 - ((G$60*(1+E$104)^5)-(F$60*(1+E$104)^4))*F$54 )/(1+$B$55)^4.5 ) +   ((( (G$60*(1+E$104)^5)*($A108)*(1-$B$15) + (G$60*(1+E$104)^5)*F$52 - (G$60*(1+E$104)^5)*F$53 - ((G$60*(1+E$104)^5)-(F$60*(1+E$104)^4))*F$54 )*(1+$B$56))/($B$55-$B$56))/(1+$B$55)^5 - $F$85) / $F$87</f>
        <v/>
      </c>
      <c r="F108" s="37">
        <f>((( (C$60*(1+F$104))*($A108-0.015)*(1-$B$15) + (C$60*(1+F$104))*B$52 - (C$60*(1+F$104))*B$53 - ((C$60*(1+F$104))-B$60)*B$54 )/(1+$B$55)^0.5 +     ( (D$60*(1+F$104)^2)*($A108-0.010)*(1-$B$15) + (D$60*(1+F$104)^2)*C$52 - (D$60*(1+F$104)^2)*C$53 - ((D$60*(1+F$104)^2)-(C$60*(1+F$104)))*C$54 )/(1+$B$55)^1.5 +     ( (E$60*(1+F$104)^3)*($A108-0.005)*(1-$B$15) + (E$60*(1+F$104)^3)*D$52 - (E$60*(1+F$104)^3)*D$53 - ((E$60*(1+F$104)^3)-(D$60*(1+F$104)^2))*D$54 )/(1+$B$55)^2.5 +     ( (F$60*(1+F$104)^4)*($A108-0.002)*(1-$B$15) + (F$60*(1+F$104)^4)*E$52 - (F$60*(1+F$104)^4)*E$53 - ((F$60*(1+F$104)^4)-(E$60*(1+F$104)^3))*E$54 )/(1+$B$55)^3.5 +     ( (G$60*(1+F$104)^5)*($A108)*(1-$B$15) + (G$60*(1+F$104)^5)*F$52 - (G$60*(1+F$104)^5)*F$53 - ((G$60*(1+F$104)^5)-(F$60*(1+F$104)^4))*F$54 )/(1+$B$55)^4.5 ) +   ((( (G$60*(1+F$104)^5)*($A108)*(1-$B$15) + (G$60*(1+F$104)^5)*F$52 - (G$60*(1+F$104)^5)*F$53 - ((G$60*(1+F$104)^5)-(F$60*(1+F$104)^4))*F$54 )*(1+$B$56))/($B$55-$B$56))/(1+$B$55)^5 - $F$85) / $F$87</f>
        <v/>
      </c>
    </row>
    <row r="109">
      <c r="A109" s="36" t="n">
        <v>0.15</v>
      </c>
      <c r="B109" s="37">
        <f>((( (C$60*(1+B$104))*($A109-0.015)*(1-$B$15) + (C$60*(1+B$104))*B$52 - (C$60*(1+B$104))*B$53 - ((C$60*(1+B$104))-B$60)*B$54 )/(1+$B$55)^0.5 +     ( (D$60*(1+B$104)^2)*($A109-0.010)*(1-$B$15) + (D$60*(1+B$104)^2)*C$52 - (D$60*(1+B$104)^2)*C$53 - ((D$60*(1+B$104)^2)-(C$60*(1+B$104)))*C$54 )/(1+$B$55)^1.5 +     ( (E$60*(1+B$104)^3)*($A109-0.005)*(1-$B$15) + (E$60*(1+B$104)^3)*D$52 - (E$60*(1+B$104)^3)*D$53 - ((E$60*(1+B$104)^3)-(D$60*(1+B$104)^2))*D$54 )/(1+$B$55)^2.5 +     ( (F$60*(1+B$104)^4)*($A109-0.002)*(1-$B$15) + (F$60*(1+B$104)^4)*E$52 - (F$60*(1+B$104)^4)*E$53 - ((F$60*(1+B$104)^4)-(E$60*(1+B$104)^3))*E$54 )/(1+$B$55)^3.5 +     ( (G$60*(1+B$104)^5)*($A109)*(1-$B$15) + (G$60*(1+B$104)^5)*F$52 - (G$60*(1+B$104)^5)*F$53 - ((G$60*(1+B$104)^5)-(F$60*(1+B$104)^4))*F$54 )/(1+$B$55)^4.5 ) +   ((( (G$60*(1+B$104)^5)*($A109)*(1-$B$15) + (G$60*(1+B$104)^5)*F$52 - (G$60*(1+B$104)^5)*F$53 - ((G$60*(1+B$104)^5)-(F$60*(1+B$104)^4))*F$54 )*(1+$B$56))/($B$55-$B$56))/(1+$B$55)^5 - $F$85) / $F$87</f>
        <v/>
      </c>
      <c r="C109" s="37">
        <f>((( (C$60*(1+C$104))*($A109-0.015)*(1-$B$15) + (C$60*(1+C$104))*B$52 - (C$60*(1+C$104))*B$53 - ((C$60*(1+C$104))-B$60)*B$54 )/(1+$B$55)^0.5 +     ( (D$60*(1+C$104)^2)*($A109-0.010)*(1-$B$15) + (D$60*(1+C$104)^2)*C$52 - (D$60*(1+C$104)^2)*C$53 - ((D$60*(1+C$104)^2)-(C$60*(1+C$104)))*C$54 )/(1+$B$55)^1.5 +     ( (E$60*(1+C$104)^3)*($A109-0.005)*(1-$B$15) + (E$60*(1+C$104)^3)*D$52 - (E$60*(1+C$104)^3)*D$53 - ((E$60*(1+C$104)^3)-(D$60*(1+C$104)^2))*D$54 )/(1+$B$55)^2.5 +     ( (F$60*(1+C$104)^4)*($A109-0.002)*(1-$B$15) + (F$60*(1+C$104)^4)*E$52 - (F$60*(1+C$104)^4)*E$53 - ((F$60*(1+C$104)^4)-(E$60*(1+C$104)^3))*E$54 )/(1+$B$55)^3.5 +     ( (G$60*(1+C$104)^5)*($A109)*(1-$B$15) + (G$60*(1+C$104)^5)*F$52 - (G$60*(1+C$104)^5)*F$53 - ((G$60*(1+C$104)^5)-(F$60*(1+C$104)^4))*F$54 )/(1+$B$55)^4.5 ) +   ((( (G$60*(1+C$104)^5)*($A109)*(1-$B$15) + (G$60*(1+C$104)^5)*F$52 - (G$60*(1+C$104)^5)*F$53 - ((G$60*(1+C$104)^5)-(F$60*(1+C$104)^4))*F$54 )*(1+$B$56))/($B$55-$B$56))/(1+$B$55)^5 - $F$85) / $F$87</f>
        <v/>
      </c>
      <c r="D109" s="37">
        <f>((( (C$60*(1+D$104))*($A109-0.015)*(1-$B$15) + (C$60*(1+D$104))*B$52 - (C$60*(1+D$104))*B$53 - ((C$60*(1+D$104))-B$60)*B$54 )/(1+$B$55)^0.5 +     ( (D$60*(1+D$104)^2)*($A109-0.010)*(1-$B$15) + (D$60*(1+D$104)^2)*C$52 - (D$60*(1+D$104)^2)*C$53 - ((D$60*(1+D$104)^2)-(C$60*(1+D$104)))*C$54 )/(1+$B$55)^1.5 +     ( (E$60*(1+D$104)^3)*($A109-0.005)*(1-$B$15) + (E$60*(1+D$104)^3)*D$52 - (E$60*(1+D$104)^3)*D$53 - ((E$60*(1+D$104)^3)-(D$60*(1+D$104)^2))*D$54 )/(1+$B$55)^2.5 +     ( (F$60*(1+D$104)^4)*($A109-0.002)*(1-$B$15) + (F$60*(1+D$104)^4)*E$52 - (F$60*(1+D$104)^4)*E$53 - ((F$60*(1+D$104)^4)-(E$60*(1+D$104)^3))*E$54 )/(1+$B$55)^3.5 +     ( (G$60*(1+D$104)^5)*($A109)*(1-$B$15) + (G$60*(1+D$104)^5)*F$52 - (G$60*(1+D$104)^5)*F$53 - ((G$60*(1+D$104)^5)-(F$60*(1+D$104)^4))*F$54 )/(1+$B$55)^4.5 ) +   ((( (G$60*(1+D$104)^5)*($A109)*(1-$B$15) + (G$60*(1+D$104)^5)*F$52 - (G$60*(1+D$104)^5)*F$53 - ((G$60*(1+D$104)^5)-(F$60*(1+D$104)^4))*F$54 )*(1+$B$56))/($B$55-$B$56))/(1+$B$55)^5 - $F$85) / $F$87</f>
        <v/>
      </c>
      <c r="E109" s="37">
        <f>((( (C$60*(1+E$104))*($A109-0.015)*(1-$B$15) + (C$60*(1+E$104))*B$52 - (C$60*(1+E$104))*B$53 - ((C$60*(1+E$104))-B$60)*B$54 )/(1+$B$55)^0.5 +     ( (D$60*(1+E$104)^2)*($A109-0.010)*(1-$B$15) + (D$60*(1+E$104)^2)*C$52 - (D$60*(1+E$104)^2)*C$53 - ((D$60*(1+E$104)^2)-(C$60*(1+E$104)))*C$54 )/(1+$B$55)^1.5 +     ( (E$60*(1+E$104)^3)*($A109-0.005)*(1-$B$15) + (E$60*(1+E$104)^3)*D$52 - (E$60*(1+E$104)^3)*D$53 - ((E$60*(1+E$104)^3)-(D$60*(1+E$104)^2))*D$54 )/(1+$B$55)^2.5 +     ( (F$60*(1+E$104)^4)*($A109-0.002)*(1-$B$15) + (F$60*(1+E$104)^4)*E$52 - (F$60*(1+E$104)^4)*E$53 - ((F$60*(1+E$104)^4)-(E$60*(1+E$104)^3))*E$54 )/(1+$B$55)^3.5 +     ( (G$60*(1+E$104)^5)*($A109)*(1-$B$15) + (G$60*(1+E$104)^5)*F$52 - (G$60*(1+E$104)^5)*F$53 - ((G$60*(1+E$104)^5)-(F$60*(1+E$104)^4))*F$54 )/(1+$B$55)^4.5 ) +   ((( (G$60*(1+E$104)^5)*($A109)*(1-$B$15) + (G$60*(1+E$104)^5)*F$52 - (G$60*(1+E$104)^5)*F$53 - ((G$60*(1+E$104)^5)-(F$60*(1+E$104)^4))*F$54 )*(1+$B$56))/($B$55-$B$56))/(1+$B$55)^5 - $F$85) / $F$87</f>
        <v/>
      </c>
      <c r="F109" s="37">
        <f>((( (C$60*(1+F$104))*($A109-0.015)*(1-$B$15) + (C$60*(1+F$104))*B$52 - (C$60*(1+F$104))*B$53 - ((C$60*(1+F$104))-B$60)*B$54 )/(1+$B$55)^0.5 +     ( (D$60*(1+F$104)^2)*($A109-0.010)*(1-$B$15) + (D$60*(1+F$104)^2)*C$52 - (D$60*(1+F$104)^2)*C$53 - ((D$60*(1+F$104)^2)-(C$60*(1+F$104)))*C$54 )/(1+$B$55)^1.5 +     ( (E$60*(1+F$104)^3)*($A109-0.005)*(1-$B$15) + (E$60*(1+F$104)^3)*D$52 - (E$60*(1+F$104)^3)*D$53 - ((E$60*(1+F$104)^3)-(D$60*(1+F$104)^2))*D$54 )/(1+$B$55)^2.5 +     ( (F$60*(1+F$104)^4)*($A109-0.002)*(1-$B$15) + (F$60*(1+F$104)^4)*E$52 - (F$60*(1+F$104)^4)*E$53 - ((F$60*(1+F$104)^4)-(E$60*(1+F$104)^3))*E$54 )/(1+$B$55)^3.5 +     ( (G$60*(1+F$104)^5)*($A109)*(1-$B$15) + (G$60*(1+F$104)^5)*F$52 - (G$60*(1+F$104)^5)*F$53 - ((G$60*(1+F$104)^5)-(F$60*(1+F$104)^4))*F$54 )/(1+$B$55)^4.5 ) +   ((( (G$60*(1+F$104)^5)*($A109)*(1-$B$15) + (G$60*(1+F$104)^5)*F$52 - (G$60*(1+F$104)^5)*F$53 - ((G$60*(1+F$104)^5)-(F$60*(1+F$104)^4))*F$54 )*(1+$B$56))/($B$55-$B$56))/(1+$B$55)^5 - $F$85) / $F$87</f>
        <v/>
      </c>
    </row>
    <row r="112">
      <c r="A112" s="29" t="inlineStr">
        <is>
          <t>TABLE 3: IMPLIED SHARE PRICE ($) — BETA VS. RISK-FREE RATE (Rf)</t>
        </is>
      </c>
    </row>
    <row r="113">
      <c r="A113" s="35" t="inlineStr">
        <is>
          <t>Beta \ Risk-Free Rate</t>
        </is>
      </c>
      <c r="B113" s="40" t="n">
        <v>0.0325</v>
      </c>
      <c r="C113" s="40" t="n">
        <v>0.0375</v>
      </c>
      <c r="D113" s="40" t="n">
        <v>0.0425</v>
      </c>
      <c r="E113" s="40" t="n">
        <v>0.0475</v>
      </c>
      <c r="F113" s="40" t="n">
        <v>0.0525</v>
      </c>
    </row>
    <row r="114">
      <c r="A114" s="41" t="n">
        <v>0.85</v>
      </c>
      <c r="B114" s="37">
        <f>(((C$69/(1+(0.563*(B$113+$A114*0.055)+0.437*0.0494))^0.5 + D$69/(1+(0.563*(B$113+$A114*0.055)+0.437*0.0494))^1.5 + E$69/(1+(0.563*(B$113+$A114*0.055)+0.437*0.0494))^2.5 + F$69/(1+(0.563*(B$113+$A114*0.055)+0.437*0.0494))^3.5 + G$69/(1+(0.563*(B$113+$A114*0.055)+0.437*0.0494))^4.5) + (G$69*(1+$B$56)/((0.563*(B$113+$A114*0.055)+0.437*0.0494)-$B$56))/(1+(0.563*(B$113+$A114*0.055)+0.437*0.0494))^5) - $F$85) / $F$87</f>
        <v/>
      </c>
      <c r="C114" s="37">
        <f>(((C$69/(1+(0.563*(C$113+$A114*0.055)+0.437*0.0494))^0.5 + D$69/(1+(0.563*(C$113+$A114*0.055)+0.437*0.0494))^1.5 + E$69/(1+(0.563*(C$113+$A114*0.055)+0.437*0.0494))^2.5 + F$69/(1+(0.563*(C$113+$A114*0.055)+0.437*0.0494))^3.5 + G$69/(1+(0.563*(C$113+$A114*0.055)+0.437*0.0494))^4.5) + (G$69*(1+$B$56)/((0.563*(C$113+$A114*0.055)+0.437*0.0494)-$B$56))/(1+(0.563*(C$113+$A114*0.055)+0.437*0.0494))^5) - $F$85) / $F$87</f>
        <v/>
      </c>
      <c r="D114" s="37">
        <f>(((C$69/(1+(0.563*(D$113+$A114*0.055)+0.437*0.0494))^0.5 + D$69/(1+(0.563*(D$113+$A114*0.055)+0.437*0.0494))^1.5 + E$69/(1+(0.563*(D$113+$A114*0.055)+0.437*0.0494))^2.5 + F$69/(1+(0.563*(D$113+$A114*0.055)+0.437*0.0494))^3.5 + G$69/(1+(0.563*(D$113+$A114*0.055)+0.437*0.0494))^4.5) + (G$69*(1+$B$56)/((0.563*(D$113+$A114*0.055)+0.437*0.0494)-$B$56))/(1+(0.563*(D$113+$A114*0.055)+0.437*0.0494))^5) - $F$85) / $F$87</f>
        <v/>
      </c>
      <c r="E114" s="37">
        <f>(((C$69/(1+(0.563*(E$113+$A114*0.055)+0.437*0.0494))^0.5 + D$69/(1+(0.563*(E$113+$A114*0.055)+0.437*0.0494))^1.5 + E$69/(1+(0.563*(E$113+$A114*0.055)+0.437*0.0494))^2.5 + F$69/(1+(0.563*(E$113+$A114*0.055)+0.437*0.0494))^3.5 + G$69/(1+(0.563*(E$113+$A114*0.055)+0.437*0.0494))^4.5) + (G$69*(1+$B$56)/((0.563*(E$113+$A114*0.055)+0.437*0.0494)-$B$56))/(1+(0.563*(E$113+$A114*0.055)+0.437*0.0494))^5) - $F$85) / $F$87</f>
        <v/>
      </c>
      <c r="F114" s="37">
        <f>(((C$69/(1+(0.563*(F$113+$A114*0.055)+0.437*0.0494))^0.5 + D$69/(1+(0.563*(F$113+$A114*0.055)+0.437*0.0494))^1.5 + E$69/(1+(0.563*(F$113+$A114*0.055)+0.437*0.0494))^2.5 + F$69/(1+(0.563*(F$113+$A114*0.055)+0.437*0.0494))^3.5 + G$69/(1+(0.563*(F$113+$A114*0.055)+0.437*0.0494))^4.5) + (G$69*(1+$B$56)/((0.563*(F$113+$A114*0.055)+0.437*0.0494)-$B$56))/(1+(0.563*(F$113+$A114*0.055)+0.437*0.0494))^5) - $F$85) / $F$87</f>
        <v/>
      </c>
    </row>
    <row r="115">
      <c r="A115" s="41" t="n">
        <v>0.95</v>
      </c>
      <c r="B115" s="37">
        <f>(((C$69/(1+(0.563*(B$113+$A115*0.055)+0.437*0.0494))^0.5 + D$69/(1+(0.563*(B$113+$A115*0.055)+0.437*0.0494))^1.5 + E$69/(1+(0.563*(B$113+$A115*0.055)+0.437*0.0494))^2.5 + F$69/(1+(0.563*(B$113+$A115*0.055)+0.437*0.0494))^3.5 + G$69/(1+(0.563*(B$113+$A115*0.055)+0.437*0.0494))^4.5) + (G$69*(1+$B$56)/((0.563*(B$113+$A115*0.055)+0.437*0.0494)-$B$56))/(1+(0.563*(B$113+$A115*0.055)+0.437*0.0494))^5) - $F$85) / $F$87</f>
        <v/>
      </c>
      <c r="C115" s="37">
        <f>(((C$69/(1+(0.563*(C$113+$A115*0.055)+0.437*0.0494))^0.5 + D$69/(1+(0.563*(C$113+$A115*0.055)+0.437*0.0494))^1.5 + E$69/(1+(0.563*(C$113+$A115*0.055)+0.437*0.0494))^2.5 + F$69/(1+(0.563*(C$113+$A115*0.055)+0.437*0.0494))^3.5 + G$69/(1+(0.563*(C$113+$A115*0.055)+0.437*0.0494))^4.5) + (G$69*(1+$B$56)/((0.563*(C$113+$A115*0.055)+0.437*0.0494)-$B$56))/(1+(0.563*(C$113+$A115*0.055)+0.437*0.0494))^5) - $F$85) / $F$87</f>
        <v/>
      </c>
      <c r="D115" s="37">
        <f>(((C$69/(1+(0.563*(D$113+$A115*0.055)+0.437*0.0494))^0.5 + D$69/(1+(0.563*(D$113+$A115*0.055)+0.437*0.0494))^1.5 + E$69/(1+(0.563*(D$113+$A115*0.055)+0.437*0.0494))^2.5 + F$69/(1+(0.563*(D$113+$A115*0.055)+0.437*0.0494))^3.5 + G$69/(1+(0.563*(D$113+$A115*0.055)+0.437*0.0494))^4.5) + (G$69*(1+$B$56)/((0.563*(D$113+$A115*0.055)+0.437*0.0494)-$B$56))/(1+(0.563*(D$113+$A115*0.055)+0.437*0.0494))^5) - $F$85) / $F$87</f>
        <v/>
      </c>
      <c r="E115" s="37">
        <f>(((C$69/(1+(0.563*(E$113+$A115*0.055)+0.437*0.0494))^0.5 + D$69/(1+(0.563*(E$113+$A115*0.055)+0.437*0.0494))^1.5 + E$69/(1+(0.563*(E$113+$A115*0.055)+0.437*0.0494))^2.5 + F$69/(1+(0.563*(E$113+$A115*0.055)+0.437*0.0494))^3.5 + G$69/(1+(0.563*(E$113+$A115*0.055)+0.437*0.0494))^4.5) + (G$69*(1+$B$56)/((0.563*(E$113+$A115*0.055)+0.437*0.0494)-$B$56))/(1+(0.563*(E$113+$A115*0.055)+0.437*0.0494))^5) - $F$85) / $F$87</f>
        <v/>
      </c>
      <c r="F115" s="37">
        <f>(((C$69/(1+(0.563*(F$113+$A115*0.055)+0.437*0.0494))^0.5 + D$69/(1+(0.563*(F$113+$A115*0.055)+0.437*0.0494))^1.5 + E$69/(1+(0.563*(F$113+$A115*0.055)+0.437*0.0494))^2.5 + F$69/(1+(0.563*(F$113+$A115*0.055)+0.437*0.0494))^3.5 + G$69/(1+(0.563*(F$113+$A115*0.055)+0.437*0.0494))^4.5) + (G$69*(1+$B$56)/((0.563*(F$113+$A115*0.055)+0.437*0.0494)-$B$56))/(1+(0.563*(F$113+$A115*0.055)+0.437*0.0494))^5) - $F$85) / $F$87</f>
        <v/>
      </c>
    </row>
    <row r="116">
      <c r="A116" s="41" t="n">
        <v>1.05</v>
      </c>
      <c r="B116" s="37">
        <f>(((C$69/(1+(0.563*(B$113+$A116*0.055)+0.437*0.0494))^0.5 + D$69/(1+(0.563*(B$113+$A116*0.055)+0.437*0.0494))^1.5 + E$69/(1+(0.563*(B$113+$A116*0.055)+0.437*0.0494))^2.5 + F$69/(1+(0.563*(B$113+$A116*0.055)+0.437*0.0494))^3.5 + G$69/(1+(0.563*(B$113+$A116*0.055)+0.437*0.0494))^4.5) + (G$69*(1+$B$56)/((0.563*(B$113+$A116*0.055)+0.437*0.0494)-$B$56))/(1+(0.563*(B$113+$A116*0.055)+0.437*0.0494))^5) - $F$85) / $F$87</f>
        <v/>
      </c>
      <c r="C116" s="37">
        <f>(((C$69/(1+(0.563*(C$113+$A116*0.055)+0.437*0.0494))^0.5 + D$69/(1+(0.563*(C$113+$A116*0.055)+0.437*0.0494))^1.5 + E$69/(1+(0.563*(C$113+$A116*0.055)+0.437*0.0494))^2.5 + F$69/(1+(0.563*(C$113+$A116*0.055)+0.437*0.0494))^3.5 + G$69/(1+(0.563*(C$113+$A116*0.055)+0.437*0.0494))^4.5) + (G$69*(1+$B$56)/((0.563*(C$113+$A116*0.055)+0.437*0.0494)-$B$56))/(1+(0.563*(C$113+$A116*0.055)+0.437*0.0494))^5) - $F$85) / $F$87</f>
        <v/>
      </c>
      <c r="D116" s="38">
        <f>(((C$69/(1+(0.563*(D$113+$A116*0.055)+0.437*0.0494))^0.5 + D$69/(1+(0.563*(D$113+$A116*0.055)+0.437*0.0494))^1.5 + E$69/(1+(0.563*(D$113+$A116*0.055)+0.437*0.0494))^2.5 + F$69/(1+(0.563*(D$113+$A116*0.055)+0.437*0.0494))^3.5 + G$69/(1+(0.563*(D$113+$A116*0.055)+0.437*0.0494))^4.5) + (G$69*(1+$B$56)/((0.563*(D$113+$A116*0.055)+0.437*0.0494)-$B$56))/(1+(0.563*(D$113+$A116*0.055)+0.437*0.0494))^5) - $F$85) / $F$87</f>
        <v/>
      </c>
      <c r="E116" s="37">
        <f>(((C$69/(1+(0.563*(E$113+$A116*0.055)+0.437*0.0494))^0.5 + D$69/(1+(0.563*(E$113+$A116*0.055)+0.437*0.0494))^1.5 + E$69/(1+(0.563*(E$113+$A116*0.055)+0.437*0.0494))^2.5 + F$69/(1+(0.563*(E$113+$A116*0.055)+0.437*0.0494))^3.5 + G$69/(1+(0.563*(E$113+$A116*0.055)+0.437*0.0494))^4.5) + (G$69*(1+$B$56)/((0.563*(E$113+$A116*0.055)+0.437*0.0494)-$B$56))/(1+(0.563*(E$113+$A116*0.055)+0.437*0.0494))^5) - $F$85) / $F$87</f>
        <v/>
      </c>
      <c r="F116" s="37">
        <f>(((C$69/(1+(0.563*(F$113+$A116*0.055)+0.437*0.0494))^0.5 + D$69/(1+(0.563*(F$113+$A116*0.055)+0.437*0.0494))^1.5 + E$69/(1+(0.563*(F$113+$A116*0.055)+0.437*0.0494))^2.5 + F$69/(1+(0.563*(F$113+$A116*0.055)+0.437*0.0494))^3.5 + G$69/(1+(0.563*(F$113+$A116*0.055)+0.437*0.0494))^4.5) + (G$69*(1+$B$56)/((0.563*(F$113+$A116*0.055)+0.437*0.0494)-$B$56))/(1+(0.563*(F$113+$A116*0.055)+0.437*0.0494))^5) - $F$85) / $F$87</f>
        <v/>
      </c>
    </row>
    <row r="117">
      <c r="A117" s="41" t="n">
        <v>1.15</v>
      </c>
      <c r="B117" s="37">
        <f>(((C$69/(1+(0.563*(B$113+$A117*0.055)+0.437*0.0494))^0.5 + D$69/(1+(0.563*(B$113+$A117*0.055)+0.437*0.0494))^1.5 + E$69/(1+(0.563*(B$113+$A117*0.055)+0.437*0.0494))^2.5 + F$69/(1+(0.563*(B$113+$A117*0.055)+0.437*0.0494))^3.5 + G$69/(1+(0.563*(B$113+$A117*0.055)+0.437*0.0494))^4.5) + (G$69*(1+$B$56)/((0.563*(B$113+$A117*0.055)+0.437*0.0494)-$B$56))/(1+(0.563*(B$113+$A117*0.055)+0.437*0.0494))^5) - $F$85) / $F$87</f>
        <v/>
      </c>
      <c r="C117" s="37">
        <f>(((C$69/(1+(0.563*(C$113+$A117*0.055)+0.437*0.0494))^0.5 + D$69/(1+(0.563*(C$113+$A117*0.055)+0.437*0.0494))^1.5 + E$69/(1+(0.563*(C$113+$A117*0.055)+0.437*0.0494))^2.5 + F$69/(1+(0.563*(C$113+$A117*0.055)+0.437*0.0494))^3.5 + G$69/(1+(0.563*(C$113+$A117*0.055)+0.437*0.0494))^4.5) + (G$69*(1+$B$56)/((0.563*(C$113+$A117*0.055)+0.437*0.0494)-$B$56))/(1+(0.563*(C$113+$A117*0.055)+0.437*0.0494))^5) - $F$85) / $F$87</f>
        <v/>
      </c>
      <c r="D117" s="37">
        <f>(((C$69/(1+(0.563*(D$113+$A117*0.055)+0.437*0.0494))^0.5 + D$69/(1+(0.563*(D$113+$A117*0.055)+0.437*0.0494))^1.5 + E$69/(1+(0.563*(D$113+$A117*0.055)+0.437*0.0494))^2.5 + F$69/(1+(0.563*(D$113+$A117*0.055)+0.437*0.0494))^3.5 + G$69/(1+(0.563*(D$113+$A117*0.055)+0.437*0.0494))^4.5) + (G$69*(1+$B$56)/((0.563*(D$113+$A117*0.055)+0.437*0.0494)-$B$56))/(1+(0.563*(D$113+$A117*0.055)+0.437*0.0494))^5) - $F$85) / $F$87</f>
        <v/>
      </c>
      <c r="E117" s="37">
        <f>(((C$69/(1+(0.563*(E$113+$A117*0.055)+0.437*0.0494))^0.5 + D$69/(1+(0.563*(E$113+$A117*0.055)+0.437*0.0494))^1.5 + E$69/(1+(0.563*(E$113+$A117*0.055)+0.437*0.0494))^2.5 + F$69/(1+(0.563*(E$113+$A117*0.055)+0.437*0.0494))^3.5 + G$69/(1+(0.563*(E$113+$A117*0.055)+0.437*0.0494))^4.5) + (G$69*(1+$B$56)/((0.563*(E$113+$A117*0.055)+0.437*0.0494)-$B$56))/(1+(0.563*(E$113+$A117*0.055)+0.437*0.0494))^5) - $F$85) / $F$87</f>
        <v/>
      </c>
      <c r="F117" s="37">
        <f>(((C$69/(1+(0.563*(F$113+$A117*0.055)+0.437*0.0494))^0.5 + D$69/(1+(0.563*(F$113+$A117*0.055)+0.437*0.0494))^1.5 + E$69/(1+(0.563*(F$113+$A117*0.055)+0.437*0.0494))^2.5 + F$69/(1+(0.563*(F$113+$A117*0.055)+0.437*0.0494))^3.5 + G$69/(1+(0.563*(F$113+$A117*0.055)+0.437*0.0494))^4.5) + (G$69*(1+$B$56)/((0.563*(F$113+$A117*0.055)+0.437*0.0494)-$B$56))/(1+(0.563*(F$113+$A117*0.055)+0.437*0.0494))^5) - $F$85) / $F$87</f>
        <v/>
      </c>
    </row>
    <row r="118">
      <c r="A118" s="41" t="n">
        <v>1.25</v>
      </c>
      <c r="B118" s="37">
        <f>(((C$69/(1+(0.563*(B$113+$A118*0.055)+0.437*0.0494))^0.5 + D$69/(1+(0.563*(B$113+$A118*0.055)+0.437*0.0494))^1.5 + E$69/(1+(0.563*(B$113+$A118*0.055)+0.437*0.0494))^2.5 + F$69/(1+(0.563*(B$113+$A118*0.055)+0.437*0.0494))^3.5 + G$69/(1+(0.563*(B$113+$A118*0.055)+0.437*0.0494))^4.5) + (G$69*(1+$B$56)/((0.563*(B$113+$A118*0.055)+0.437*0.0494)-$B$56))/(1+(0.563*(B$113+$A118*0.055)+0.437*0.0494))^5) - $F$85) / $F$87</f>
        <v/>
      </c>
      <c r="C118" s="37">
        <f>(((C$69/(1+(0.563*(C$113+$A118*0.055)+0.437*0.0494))^0.5 + D$69/(1+(0.563*(C$113+$A118*0.055)+0.437*0.0494))^1.5 + E$69/(1+(0.563*(C$113+$A118*0.055)+0.437*0.0494))^2.5 + F$69/(1+(0.563*(C$113+$A118*0.055)+0.437*0.0494))^3.5 + G$69/(1+(0.563*(C$113+$A118*0.055)+0.437*0.0494))^4.5) + (G$69*(1+$B$56)/((0.563*(C$113+$A118*0.055)+0.437*0.0494)-$B$56))/(1+(0.563*(C$113+$A118*0.055)+0.437*0.0494))^5) - $F$85) / $F$87</f>
        <v/>
      </c>
      <c r="D118" s="37">
        <f>(((C$69/(1+(0.563*(D$113+$A118*0.055)+0.437*0.0494))^0.5 + D$69/(1+(0.563*(D$113+$A118*0.055)+0.437*0.0494))^1.5 + E$69/(1+(0.563*(D$113+$A118*0.055)+0.437*0.0494))^2.5 + F$69/(1+(0.563*(D$113+$A118*0.055)+0.437*0.0494))^3.5 + G$69/(1+(0.563*(D$113+$A118*0.055)+0.437*0.0494))^4.5) + (G$69*(1+$B$56)/((0.563*(D$113+$A118*0.055)+0.437*0.0494)-$B$56))/(1+(0.563*(D$113+$A118*0.055)+0.437*0.0494))^5) - $F$85) / $F$87</f>
        <v/>
      </c>
      <c r="E118" s="37">
        <f>(((C$69/(1+(0.563*(E$113+$A118*0.055)+0.437*0.0494))^0.5 + D$69/(1+(0.563*(E$113+$A118*0.055)+0.437*0.0494))^1.5 + E$69/(1+(0.563*(E$113+$A118*0.055)+0.437*0.0494))^2.5 + F$69/(1+(0.563*(E$113+$A118*0.055)+0.437*0.0494))^3.5 + G$69/(1+(0.563*(E$113+$A118*0.055)+0.437*0.0494))^4.5) + (G$69*(1+$B$56)/((0.563*(E$113+$A118*0.055)+0.437*0.0494)-$B$56))/(1+(0.563*(E$113+$A118*0.055)+0.437*0.0494))^5) - $F$85) / $F$87</f>
        <v/>
      </c>
      <c r="F118" s="37">
        <f>(((C$69/(1+(0.563*(F$113+$A118*0.055)+0.437*0.0494))^0.5 + D$69/(1+(0.563*(F$113+$A118*0.055)+0.437*0.0494))^1.5 + E$69/(1+(0.563*(F$113+$A118*0.055)+0.437*0.0494))^2.5 + F$69/(1+(0.563*(F$113+$A118*0.055)+0.437*0.0494))^3.5 + G$69/(1+(0.563*(F$113+$A118*0.055)+0.437*0.0494))^4.5) + (G$69*(1+$B$56)/((0.563*(F$113+$A118*0.055)+0.437*0.0494)-$B$56))/(1+(0.563*(F$113+$A118*0.055)+0.437*0.0494))^5) - $F$85) / $F$87</f>
        <v/>
      </c>
    </row>
  </sheetData>
  <mergeCells count="16">
    <mergeCell ref="A58:G58"/>
    <mergeCell ref="A94:G94"/>
    <mergeCell ref="A17:G17"/>
    <mergeCell ref="A18:G18"/>
    <mergeCell ref="A79:C79"/>
    <mergeCell ref="A4:G4"/>
    <mergeCell ref="A48:G48"/>
    <mergeCell ref="A78:G78"/>
    <mergeCell ref="A38:G38"/>
    <mergeCell ref="E79:G79"/>
    <mergeCell ref="A92:G92"/>
    <mergeCell ref="A112:G112"/>
    <mergeCell ref="A7:G7"/>
    <mergeCell ref="A103:G103"/>
    <mergeCell ref="A71:G71"/>
    <mergeCell ref="A28:G2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LIBERTY CAPITAL CORPORATION (GLIBK) — COST OF CAPITAL (WACC) SCHEDULE</t>
        </is>
      </c>
    </row>
    <row r="3">
      <c r="A3" s="42" t="inlineStr">
        <is>
          <t>CAPITAL ASSET PRICING MODEL (CAPM) &amp; WACC BREAKDOWN</t>
        </is>
      </c>
      <c r="B3" s="42" t="n"/>
      <c r="C3" s="42" t="n"/>
      <c r="D3" s="42" t="n"/>
    </row>
    <row r="4">
      <c r="A4" s="13" t="inlineStr">
        <is>
          <t>1. Cost of Equity (CAPM)</t>
        </is>
      </c>
    </row>
    <row r="5">
      <c r="A5" s="9" t="inlineStr">
        <is>
          <t xml:space="preserve">  Risk-Free Rate (10-Year US Treasury Yield)</t>
        </is>
      </c>
      <c r="B5" s="30" t="n">
        <v>0.0425</v>
      </c>
    </row>
    <row r="6">
      <c r="A6" s="9" t="inlineStr">
        <is>
          <t xml:space="preserve">  Equity Beta (5-Year Monthly vs S&amp;P 500)</t>
        </is>
      </c>
      <c r="B6" s="43" t="n">
        <v>1.05</v>
      </c>
    </row>
    <row r="7">
      <c r="A7" s="9" t="inlineStr">
        <is>
          <t xml:space="preserve">  Market Equity Risk Premium (ERP)</t>
        </is>
      </c>
      <c r="B7" s="30" t="n">
        <v>0.055</v>
      </c>
    </row>
    <row r="8">
      <c r="A8" s="13" t="inlineStr">
        <is>
          <t xml:space="preserve">  Cost of Equity (Ke = Rf + Beta × ERP)</t>
        </is>
      </c>
      <c r="B8" s="44">
        <f>B5+B6*B7</f>
        <v/>
      </c>
    </row>
    <row r="9">
      <c r="A9" s="13" t="inlineStr">
        <is>
          <t>2. Cost of Debt</t>
        </is>
      </c>
    </row>
    <row r="10">
      <c r="A10" s="9" t="inlineStr">
        <is>
          <t xml:space="preserve">  Pre-Tax Cost of Debt (Kd)</t>
        </is>
      </c>
      <c r="B10" s="30" t="n">
        <v>0.065</v>
      </c>
    </row>
    <row r="11">
      <c r="A11" s="9" t="inlineStr">
        <is>
          <t xml:space="preserve">  Effective Corporate Tax Rate (t)</t>
        </is>
      </c>
      <c r="B11" s="21">
        <f>DCF!B15</f>
        <v/>
      </c>
    </row>
    <row r="12">
      <c r="A12" s="13" t="inlineStr">
        <is>
          <t xml:space="preserve">  After-Tax Cost of Debt (Kd × (1 - t))</t>
        </is>
      </c>
      <c r="B12" s="44">
        <f>B10*(1-B11)</f>
        <v/>
      </c>
    </row>
    <row r="13">
      <c r="A13" s="13" t="inlineStr">
        <is>
          <t>3. Capital Structure &amp; Weights</t>
        </is>
      </c>
    </row>
    <row r="14">
      <c r="A14" s="9" t="inlineStr">
        <is>
          <t xml:space="preserve">  Market Capitalization (Equity Value)</t>
        </is>
      </c>
      <c r="B14" s="23">
        <f>DCF!B11</f>
        <v/>
      </c>
    </row>
    <row r="15">
      <c r="A15" s="9" t="inlineStr">
        <is>
          <t xml:space="preserve">  Net Debt (Total Debt - Cash)</t>
        </is>
      </c>
      <c r="B15" s="23">
        <f>DCF!B14</f>
        <v/>
      </c>
    </row>
    <row r="16">
      <c r="A16" s="13" t="inlineStr">
        <is>
          <t xml:space="preserve">  Total Enterprise Capital (V = E + D)</t>
        </is>
      </c>
      <c r="B16" s="45">
        <f>B14+B15</f>
        <v/>
      </c>
    </row>
    <row r="17">
      <c r="A17" s="9" t="inlineStr">
        <is>
          <t xml:space="preserve">  Weight of Equity (We = E / V)</t>
        </is>
      </c>
      <c r="B17" s="30">
        <f>B14/B16</f>
        <v/>
      </c>
    </row>
    <row r="18">
      <c r="A18" s="9" t="inlineStr">
        <is>
          <t xml:space="preserve">  Weight of Debt (Wd = D / V)</t>
        </is>
      </c>
      <c r="B18" s="30">
        <f>B15/B16</f>
        <v/>
      </c>
    </row>
    <row r="19">
      <c r="A19" s="13" t="inlineStr">
        <is>
          <t>4. Weighted Average Cost of Capital (WACC)</t>
        </is>
      </c>
      <c r="B19" s="46">
        <f>B17*B8+B18*B12</f>
        <v/>
      </c>
    </row>
  </sheetData>
  <mergeCells count="1"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LIBERTY CAPITAL CORPORATION (GLIBK) — SENSITIVITY SUMMARY</t>
        </is>
      </c>
    </row>
    <row r="3">
      <c r="A3" s="2" t="inlineStr">
        <is>
          <t>Reference: Detailed 5x5 sensitivity matrices are dynamically integrated in 'DCF'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2026-08-19T09:56:48Z</dcterms:created>
  <dcterms:modified xmlns:dcterms="http://purl.org/dc/terms/" xmlns:xsi="http://www.w3.org/2001/XMLSchema-instance" xsi:type="dcterms:W3CDTF">2026-08-19T09:56:48Z</dcterms:modified>
</cp:coreProperties>
</file>