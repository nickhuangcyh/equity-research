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.00;($#,##0.00);-"/>
    <numFmt numFmtId="167" formatCode="0.0"/>
    <numFmt numFmtId="168" formatCode="0.0000"/>
    <numFmt numFmtId="169" formatCode="+0.0%;-0.0%;0.0%"/>
    <numFmt numFmtId="170" formatCode="0.0x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i val="1"/>
      <color rgb="00595959"/>
      <sz val="9"/>
    </font>
    <font>
      <name val="Calibri"/>
      <b val="1"/>
      <color rgb="00008000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0" fontId="9" fillId="4" borderId="3" pivotButton="0" quotePrefix="0" xfId="0"/>
    <xf numFmtId="0" fontId="0" fillId="4" borderId="3" pivotButton="0" quotePrefix="0" xfId="0"/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10" fillId="0" borderId="2" pivotButton="0" quotePrefix="0" xfId="0"/>
    <xf numFmtId="0" fontId="4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0" fontId="11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166" fontId="12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6" fillId="0" borderId="4" pivotButton="0" quotePrefix="0" xfId="0"/>
    <xf numFmtId="166" fontId="12" fillId="3" borderId="4" applyAlignment="1" pivotButton="0" quotePrefix="0" xfId="0">
      <alignment horizontal="right" vertical="center"/>
    </xf>
    <xf numFmtId="166" fontId="6" fillId="0" borderId="4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center" vertical="center"/>
    </xf>
    <xf numFmtId="166" fontId="6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6" fillId="5" borderId="4" pivotButton="0" quotePrefix="0" xfId="0"/>
    <xf numFmtId="165" fontId="6" fillId="5" borderId="4" applyAlignment="1" pivotButton="0" quotePrefix="0" xfId="0">
      <alignment horizontal="right" vertical="center"/>
    </xf>
    <xf numFmtId="170" fontId="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9" fontId="6" fillId="5" borderId="4" applyAlignment="1" pivotButton="0" quotePrefix="0" xfId="0">
      <alignment horizontal="right" vertical="center"/>
    </xf>
    <xf numFmtId="164" fontId="6" fillId="4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9" fontId="6" fillId="4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  <author>DCF Model</author>
  </authors>
  <commentList>
    <comment ref="B4" authorId="0" shapeId="0">
      <text>
        <t>Case Selector: 1 = Bear Case (Search Erosion &amp; Capex Drag), 2 = Base Case (AI Monetization &amp; Cloud Expansion), 3 = Bull Case (Full AI Ecosystem Dominance)</t>
      </text>
    </comment>
    <comment ref="B7" authorId="0" shapeId="0">
      <text>
        <t>Source: Market close price as of August 18, 2026 ($341.37)</t>
      </text>
    </comment>
    <comment ref="B8" authorId="0" shapeId="0">
      <text>
        <t>Source: SEC Form 10-Q / 10-K diluted share count reflecting equity offerings (12,200.0M shares)</t>
      </text>
    </comment>
    <comment ref="B10" authorId="0" shapeId="0">
      <text>
        <t>Source: SEC Form 10-Q Balance Sheet total cash, equivalents &amp; marketable securities ($242.50B)</t>
      </text>
    </comment>
    <comment ref="B11" authorId="0" shapeId="0">
      <text>
        <t>Source: SEC Form 10-Q Balance Sheet total carrying debt ($98.20B)</t>
      </text>
    </comment>
    <comment ref="B14" authorId="0" shapeId="0">
      <text>
        <t>Source: Long-term normalized effective corporate income tax rate (17.50%)</t>
      </text>
    </comment>
    <comment ref="B15" authorId="0" shapeId="0">
      <text>
        <t>Source: Consensus long-term equity risk premium benchmark (5.50%)</t>
      </text>
    </comment>
    <comment ref="B16" authorId="0" shapeId="0">
      <text>
        <t>Source: US 10-Year Treasury Yield benchmark as of August 19, 2026 (4.69%)</t>
      </text>
    </comment>
    <comment ref="B17" authorId="0" shapeId="0">
      <text>
        <t>Source: Market data 5-year monthly regression beta (1.24)</t>
      </text>
    </comment>
    <comment ref="B60" authorId="1" shapeId="0">
      <text>
        <t>Source: SEC Form 10-K FY2024 Total Revenues ($350.02B)</t>
      </text>
    </comment>
    <comment ref="C60" authorId="1" shapeId="0">
      <text>
        <t>Source: SEC Form 10-K FY2025 Total Revenues ($402.84B)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19, 2026</t>
      </text>
    </comment>
    <comment ref="B6" authorId="0" shapeId="0">
      <text>
        <t>Source: Market data 5-year monthly regression beta vs S&amp;P 500 (Reflects technology AI leadership &amp; volatility)</t>
      </text>
    </comment>
    <comment ref="B7" authorId="0" shapeId="0">
      <text>
        <t>Source: Standard institutional equity risk premium consensus (5.50%)</t>
      </text>
    </comment>
    <comment ref="B11" authorId="0" shapeId="0">
      <text>
        <t>Source: Alphabet Senior Notes yield curve / Aa2-AA+ effective borrowing cost</t>
      </text>
    </comment>
    <comment ref="B12" authorId="0" shapeId="0">
      <text>
        <t>Source: SEC Form 10-K normalized long-term effective corporate tax rate (17.50%)</t>
      </text>
    </comment>
    <comment ref="B17" authorId="0" shapeId="0">
      <text>
        <t>Source: SEC Form 10-Q / Form 10-K Balance Sheet total carrying debt ($98.20B)</t>
      </text>
    </comment>
    <comment ref="B18" authorId="0" shapeId="0">
      <text>
        <t>Source: SEC Form 10-Q / Form 10-K total cash &amp; marketable securities ($242.50B)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8" customWidth="1" min="8" max="8"/>
  </cols>
  <sheetData>
    <row r="1">
      <c r="A1" s="1" t="inlineStr">
        <is>
          <t>Alphabet Inc. (NASDAQ: GOOGL / GOOG)</t>
        </is>
      </c>
    </row>
    <row r="2">
      <c r="A2" s="2" t="inlineStr">
        <is>
          <t>Institutional DCF Valuation Model | Report Date: August 19, 2026 | Financial Source: SEC Form 10-K, 10-Q &amp; Consensus Estimates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 (Antitrust Headwinds / Search Disruption / AI ROI Drag)",IF(B4=2,"[2] BASE CASE (Cloud Scaling / Gemini AI Monetization / Sustained Search Moat)","[3] BULL CASE (Waymo Commercialization / Cloud Hypergrowth / Agentic AI Leadership)"))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341.37</v>
      </c>
    </row>
    <row r="8">
      <c r="A8" s="8" t="inlineStr">
        <is>
          <t>Diluted Shares Outstanding (M)</t>
        </is>
      </c>
      <c r="B8" s="10" t="n">
        <v>12200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Cash, Cash Eq. &amp; Marketable Securities ($M)</t>
        </is>
      </c>
      <c r="B10" s="9" t="n">
        <v>242500</v>
      </c>
    </row>
    <row r="11">
      <c r="A11" s="8" t="inlineStr">
        <is>
          <t>Total Debt (Current + Noncurrent Debt) ($M)</t>
        </is>
      </c>
      <c r="B11" s="9" t="n">
        <v>98200</v>
      </c>
    </row>
    <row r="12">
      <c r="A12" s="11" t="inlineStr">
        <is>
          <t>Net Debt ($M) [Net Cash if negative]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0.175</v>
      </c>
    </row>
    <row r="15">
      <c r="A15" s="8" t="inlineStr">
        <is>
          <t>Market Equity Risk Premium (ERP) (%)</t>
        </is>
      </c>
      <c r="B15" s="13" t="n">
        <v>0.055</v>
      </c>
    </row>
    <row r="16">
      <c r="A16" s="8" t="inlineStr">
        <is>
          <t>Long-Term Risk-Free Rate (%)</t>
        </is>
      </c>
      <c r="B16" s="14" t="n">
        <v>0.0469</v>
      </c>
    </row>
    <row r="17">
      <c r="A17" s="8" t="inlineStr">
        <is>
          <t>Equity Beta (5-Year Monthly vs S&amp;P 500)</t>
        </is>
      </c>
      <c r="B17" s="15" t="n">
        <v>1.24</v>
      </c>
    </row>
    <row r="19">
      <c r="A19" s="6" t="inlineStr">
        <is>
          <t>II. SCENARIO DRIVER ASSUMPTIONS (BEAR / BASE / BULL)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16" t="inlineStr">
        <is>
          <t>SCENARIO 1: BEAR CASE ASSUMPTIONS</t>
        </is>
      </c>
      <c r="B20" s="17" t="n"/>
      <c r="C20" s="17" t="n"/>
      <c r="D20" s="17" t="n"/>
      <c r="E20" s="17" t="n"/>
      <c r="F20" s="17" t="n"/>
      <c r="G20" s="17" t="n"/>
      <c r="H20" s="17" t="n"/>
    </row>
    <row r="21">
      <c r="A21" s="18" t="inlineStr">
        <is>
          <t>Assumption Driver</t>
        </is>
      </c>
      <c r="B21" s="19" t="inlineStr">
        <is>
          <t>FY26E</t>
        </is>
      </c>
      <c r="C21" s="19" t="inlineStr">
        <is>
          <t>FY27E</t>
        </is>
      </c>
      <c r="D21" s="19" t="inlineStr">
        <is>
          <t>FY28E</t>
        </is>
      </c>
      <c r="E21" s="19" t="inlineStr">
        <is>
          <t>FY29E</t>
        </is>
      </c>
      <c r="F21" s="19" t="inlineStr">
        <is>
          <t>FY30E</t>
        </is>
      </c>
      <c r="G21" s="19" t="inlineStr">
        <is>
          <t>Terminal</t>
        </is>
      </c>
      <c r="H21" s="18" t="inlineStr">
        <is>
          <t>Parameter Description / Methodology</t>
        </is>
      </c>
    </row>
    <row r="22">
      <c r="A22" s="8" t="inlineStr">
        <is>
          <t>Revenue Growth Rate (%)</t>
        </is>
      </c>
      <c r="B22" s="13" t="n">
        <v>0.11</v>
      </c>
      <c r="C22" s="13" t="n">
        <v>0.09</v>
      </c>
      <c r="D22" s="13" t="n">
        <v>0.075</v>
      </c>
      <c r="E22" s="13" t="n">
        <v>0.06</v>
      </c>
      <c r="F22" s="13" t="n">
        <v>0.05</v>
      </c>
      <c r="G22" s="13" t="n">
        <v>0.025</v>
      </c>
      <c r="H22" s="20" t="inlineStr">
        <is>
          <t>Search share loss, antitrust remedies, slower cloud migration</t>
        </is>
      </c>
    </row>
    <row r="23">
      <c r="A23" s="8" t="inlineStr">
        <is>
          <t>Gross Margin (%)</t>
        </is>
      </c>
      <c r="B23" s="13" t="n">
        <v>0.5600000000000001</v>
      </c>
      <c r="C23" s="13" t="n">
        <v>0.555</v>
      </c>
      <c r="D23" s="13" t="n">
        <v>0.55</v>
      </c>
      <c r="E23" s="13" t="n">
        <v>0.545</v>
      </c>
      <c r="F23" s="13" t="n">
        <v>0.54</v>
      </c>
      <c r="G23" s="13" t="n">
        <v>0.54</v>
      </c>
      <c r="H23" s="20" t="inlineStr">
        <is>
          <t>Higher TAC and massive data center energy / compute depreciation</t>
        </is>
      </c>
    </row>
    <row r="24">
      <c r="A24" s="8" t="inlineStr">
        <is>
          <t>S&amp;M Expense (% of Revenue)</t>
        </is>
      </c>
      <c r="B24" s="13" t="n">
        <v>0.08</v>
      </c>
      <c r="C24" s="13" t="n">
        <v>0.08</v>
      </c>
      <c r="D24" s="13" t="n">
        <v>0.078</v>
      </c>
      <c r="E24" s="13" t="n">
        <v>0.078</v>
      </c>
      <c r="F24" s="13" t="n">
        <v>0.078</v>
      </c>
      <c r="G24" s="13" t="n">
        <v>0.078</v>
      </c>
      <c r="H24" s="20" t="inlineStr">
        <is>
          <t>Aggressive defensive advertising to protect search volume</t>
        </is>
      </c>
    </row>
    <row r="25">
      <c r="A25" s="8" t="inlineStr">
        <is>
          <t>R&amp;D Expense (% of Revenue)</t>
        </is>
      </c>
      <c r="B25" s="13" t="n">
        <v>0.145</v>
      </c>
      <c r="C25" s="13" t="n">
        <v>0.145</v>
      </c>
      <c r="D25" s="13" t="n">
        <v>0.14</v>
      </c>
      <c r="E25" s="13" t="n">
        <v>0.14</v>
      </c>
      <c r="F25" s="13" t="n">
        <v>0.14</v>
      </c>
      <c r="G25" s="13" t="n">
        <v>0.14</v>
      </c>
      <c r="H25" s="20" t="inlineStr">
        <is>
          <t>Sustained AI talent wars and foundational model retraining</t>
        </is>
      </c>
    </row>
    <row r="26">
      <c r="A26" s="8" t="inlineStr">
        <is>
          <t>G&amp;A Expense (% of Revenue)</t>
        </is>
      </c>
      <c r="B26" s="13" t="n">
        <v>0.045</v>
      </c>
      <c r="C26" s="13" t="n">
        <v>0.045</v>
      </c>
      <c r="D26" s="13" t="n">
        <v>0.042</v>
      </c>
      <c r="E26" s="13" t="n">
        <v>0.042</v>
      </c>
      <c r="F26" s="13" t="n">
        <v>0.042</v>
      </c>
      <c r="G26" s="13" t="n">
        <v>0.042</v>
      </c>
      <c r="H26" s="20" t="inlineStr">
        <is>
          <t>Elevated legal defense costs and regulatory compliance</t>
        </is>
      </c>
    </row>
    <row r="27">
      <c r="A27" s="8" t="inlineStr">
        <is>
          <t>CapEx (% of Revenue)</t>
        </is>
      </c>
      <c r="B27" s="13" t="n">
        <v>0.39</v>
      </c>
      <c r="C27" s="13" t="n">
        <v>0.3</v>
      </c>
      <c r="D27" s="13" t="n">
        <v>0.22</v>
      </c>
      <c r="E27" s="13" t="n">
        <v>0.18</v>
      </c>
      <c r="F27" s="13" t="n">
        <v>0.14</v>
      </c>
      <c r="G27" s="13" t="n">
        <v>0.1</v>
      </c>
      <c r="H27" s="20" t="inlineStr">
        <is>
          <t>Aggressive AI cluster spending with prolonged payback horizon</t>
        </is>
      </c>
    </row>
    <row r="28">
      <c r="A28" s="8" t="inlineStr">
        <is>
          <t>Terminal Perpetuity Growth (g) / WACC</t>
        </is>
      </c>
      <c r="B28" s="21" t="inlineStr">
        <is>
          <t>-</t>
        </is>
      </c>
      <c r="C28" s="21" t="inlineStr">
        <is>
          <t>-</t>
        </is>
      </c>
      <c r="D28" s="21" t="inlineStr">
        <is>
          <t>-</t>
        </is>
      </c>
      <c r="E28" s="21" t="inlineStr">
        <is>
          <t>-</t>
        </is>
      </c>
      <c r="F28" s="21" t="inlineStr">
        <is>
          <t>-</t>
        </is>
      </c>
      <c r="G28" s="13" t="n">
        <v>0.025</v>
      </c>
      <c r="H28" s="20" t="inlineStr">
        <is>
          <t>Conservative long-term inflation-matching growth (2.50%) | Bear WACC: 12.50%</t>
        </is>
      </c>
    </row>
    <row r="29">
      <c r="A29" s="16" t="inlineStr">
        <is>
          <t>SCENARIO 2: BASE CASE ASSUMPTIONS (CONSENSUS &amp; STRATEGIC AI BUILD)</t>
        </is>
      </c>
      <c r="B29" s="17" t="n"/>
      <c r="C29" s="17" t="n"/>
      <c r="D29" s="17" t="n"/>
      <c r="E29" s="17" t="n"/>
      <c r="F29" s="17" t="n"/>
      <c r="G29" s="17" t="n"/>
      <c r="H29" s="17" t="n"/>
    </row>
    <row r="30">
      <c r="A30" s="18" t="inlineStr">
        <is>
          <t>Assumption Driver</t>
        </is>
      </c>
      <c r="B30" s="19" t="inlineStr">
        <is>
          <t>FY26E</t>
        </is>
      </c>
      <c r="C30" s="19" t="inlineStr">
        <is>
          <t>FY27E</t>
        </is>
      </c>
      <c r="D30" s="19" t="inlineStr">
        <is>
          <t>FY28E</t>
        </is>
      </c>
      <c r="E30" s="19" t="inlineStr">
        <is>
          <t>FY29E</t>
        </is>
      </c>
      <c r="F30" s="19" t="inlineStr">
        <is>
          <t>FY30E</t>
        </is>
      </c>
      <c r="G30" s="19" t="inlineStr">
        <is>
          <t>Terminal</t>
        </is>
      </c>
      <c r="H30" s="18" t="inlineStr">
        <is>
          <t>Parameter Description / Methodology</t>
        </is>
      </c>
    </row>
    <row r="31">
      <c r="A31" s="8" t="inlineStr">
        <is>
          <t>Revenue Growth Rate (%)</t>
        </is>
      </c>
      <c r="B31" s="13" t="n">
        <v>0.16</v>
      </c>
      <c r="C31" s="13" t="n">
        <v>0.14</v>
      </c>
      <c r="D31" s="13" t="n">
        <v>0.12</v>
      </c>
      <c r="E31" s="13" t="n">
        <v>0.105</v>
      </c>
      <c r="F31" s="13" t="n">
        <v>0.09</v>
      </c>
      <c r="G31" s="13" t="n">
        <v>0.03</v>
      </c>
      <c r="H31" s="20" t="inlineStr">
        <is>
          <t>Cloud scaling (+40-50%), YouTube monetization, Gemini Search integration</t>
        </is>
      </c>
    </row>
    <row r="32">
      <c r="A32" s="8" t="inlineStr">
        <is>
          <t>Gross Margin (%)</t>
        </is>
      </c>
      <c r="B32" s="13" t="n">
        <v>0.58</v>
      </c>
      <c r="C32" s="13" t="n">
        <v>0.582</v>
      </c>
      <c r="D32" s="13" t="n">
        <v>0.585</v>
      </c>
      <c r="E32" s="13" t="n">
        <v>0.588</v>
      </c>
      <c r="F32" s="13" t="n">
        <v>0.59</v>
      </c>
      <c r="G32" s="13" t="n">
        <v>0.59</v>
      </c>
      <c r="H32" s="20" t="inlineStr">
        <is>
          <t>Cloud margin expansion and custom TPU silicon cost efficiencies</t>
        </is>
      </c>
    </row>
    <row r="33">
      <c r="A33" s="8" t="inlineStr">
        <is>
          <t>S&amp;M Expense (% of Revenue)</t>
        </is>
      </c>
      <c r="B33" s="13" t="n">
        <v>0.075</v>
      </c>
      <c r="C33" s="13" t="n">
        <v>0.07199999999999999</v>
      </c>
      <c r="D33" s="13" t="n">
        <v>0.07000000000000001</v>
      </c>
      <c r="E33" s="13" t="n">
        <v>0.068</v>
      </c>
      <c r="F33" s="13" t="n">
        <v>0.065</v>
      </c>
      <c r="G33" s="13" t="n">
        <v>0.065</v>
      </c>
      <c r="H33" s="20" t="inlineStr">
        <is>
          <t>Operating leverage from digital enterprise distribution</t>
        </is>
      </c>
    </row>
    <row r="34">
      <c r="A34" s="8" t="inlineStr">
        <is>
          <t>R&amp;D Expense (% of Revenue)</t>
        </is>
      </c>
      <c r="B34" s="13" t="n">
        <v>0.138</v>
      </c>
      <c r="C34" s="13" t="n">
        <v>0.135</v>
      </c>
      <c r="D34" s="13" t="n">
        <v>0.132</v>
      </c>
      <c r="E34" s="13" t="n">
        <v>0.128</v>
      </c>
      <c r="F34" s="13" t="n">
        <v>0.125</v>
      </c>
      <c r="G34" s="13" t="n">
        <v>0.125</v>
      </c>
      <c r="H34" s="20" t="inlineStr">
        <is>
          <t>Disciplined R&amp;D scaling with AI-assisted software productivity</t>
        </is>
      </c>
    </row>
    <row r="35">
      <c r="A35" s="8" t="inlineStr">
        <is>
          <t>G&amp;A Expense (% of Revenue)</t>
        </is>
      </c>
      <c r="B35" s="13" t="n">
        <v>0.042</v>
      </c>
      <c r="C35" s="13" t="n">
        <v>0.04</v>
      </c>
      <c r="D35" s="13" t="n">
        <v>0.038</v>
      </c>
      <c r="E35" s="13" t="n">
        <v>0.036</v>
      </c>
      <c r="F35" s="13" t="n">
        <v>0.035</v>
      </c>
      <c r="G35" s="13" t="n">
        <v>0.035</v>
      </c>
      <c r="H35" s="20" t="inlineStr">
        <is>
          <t>Corporate efficiency and automation of back-office operations</t>
        </is>
      </c>
    </row>
    <row r="36">
      <c r="A36" s="8" t="inlineStr">
        <is>
          <t>CapEx (% of Revenue)</t>
        </is>
      </c>
      <c r="B36" s="13" t="n">
        <v>0.38</v>
      </c>
      <c r="C36" s="13" t="n">
        <v>0.26</v>
      </c>
      <c r="D36" s="13" t="n">
        <v>0.18</v>
      </c>
      <c r="E36" s="13" t="n">
        <v>0.14</v>
      </c>
      <c r="F36" s="13" t="n">
        <v>0.11</v>
      </c>
      <c r="G36" s="13" t="n">
        <v>0.08</v>
      </c>
      <c r="H36" s="20" t="inlineStr">
        <is>
          <t>2026 peak AI CapEx ($178B), normalizing to sustainable steady-state</t>
        </is>
      </c>
    </row>
    <row r="37">
      <c r="A37" s="8" t="inlineStr">
        <is>
          <t>Terminal Perpetuity Growth (g) / WACC</t>
        </is>
      </c>
      <c r="B37" s="21" t="inlineStr">
        <is>
          <t>-</t>
        </is>
      </c>
      <c r="C37" s="21" t="inlineStr">
        <is>
          <t>-</t>
        </is>
      </c>
      <c r="D37" s="21" t="inlineStr">
        <is>
          <t>-</t>
        </is>
      </c>
      <c r="E37" s="21" t="inlineStr">
        <is>
          <t>-</t>
        </is>
      </c>
      <c r="F37" s="21" t="inlineStr">
        <is>
          <t>-</t>
        </is>
      </c>
      <c r="G37" s="13" t="n">
        <v>0.03</v>
      </c>
      <c r="H37" s="20" t="inlineStr">
        <is>
          <t>GDP+ Tech leader growth (3.00%) | WACC dynamically linked to 'WACC Build'</t>
        </is>
      </c>
    </row>
    <row r="38">
      <c r="A38" s="16" t="inlineStr">
        <is>
          <t>SCENARIO 3: BULL CASE ASSUMPTIONS (AGENTIC AI &amp; CLOUD ACCELERATION)</t>
        </is>
      </c>
      <c r="B38" s="17" t="n"/>
      <c r="C38" s="17" t="n"/>
      <c r="D38" s="17" t="n"/>
      <c r="E38" s="17" t="n"/>
      <c r="F38" s="17" t="n"/>
      <c r="G38" s="17" t="n"/>
      <c r="H38" s="17" t="n"/>
    </row>
    <row r="39">
      <c r="A39" s="18" t="inlineStr">
        <is>
          <t>Assumption Driver</t>
        </is>
      </c>
      <c r="B39" s="19" t="inlineStr">
        <is>
          <t>FY26E</t>
        </is>
      </c>
      <c r="C39" s="19" t="inlineStr">
        <is>
          <t>FY27E</t>
        </is>
      </c>
      <c r="D39" s="19" t="inlineStr">
        <is>
          <t>FY28E</t>
        </is>
      </c>
      <c r="E39" s="19" t="inlineStr">
        <is>
          <t>FY29E</t>
        </is>
      </c>
      <c r="F39" s="19" t="inlineStr">
        <is>
          <t>FY30E</t>
        </is>
      </c>
      <c r="G39" s="19" t="inlineStr">
        <is>
          <t>Terminal</t>
        </is>
      </c>
      <c r="H39" s="18" t="inlineStr">
        <is>
          <t>Parameter Description / Methodology</t>
        </is>
      </c>
    </row>
    <row r="40">
      <c r="A40" s="8" t="inlineStr">
        <is>
          <t>Revenue Growth Rate (%)</t>
        </is>
      </c>
      <c r="B40" s="13" t="n">
        <v>0.2</v>
      </c>
      <c r="C40" s="13" t="n">
        <v>0.175</v>
      </c>
      <c r="D40" s="13" t="n">
        <v>0.15</v>
      </c>
      <c r="E40" s="13" t="n">
        <v>0.13</v>
      </c>
      <c r="F40" s="13" t="n">
        <v>0.11</v>
      </c>
      <c r="G40" s="13" t="n">
        <v>0.035</v>
      </c>
      <c r="H40" s="20" t="inlineStr">
        <is>
          <t>Waymo commercial scaling, Google Workspace AI enterprise ARPU explosion</t>
        </is>
      </c>
    </row>
    <row r="41">
      <c r="A41" s="8" t="inlineStr">
        <is>
          <t>Gross Margin (%)</t>
        </is>
      </c>
      <c r="B41" s="13" t="n">
        <v>0.59</v>
      </c>
      <c r="C41" s="13" t="n">
        <v>0.595</v>
      </c>
      <c r="D41" s="13" t="n">
        <v>0.6</v>
      </c>
      <c r="E41" s="13" t="n">
        <v>0.605</v>
      </c>
      <c r="F41" s="13" t="n">
        <v>0.61</v>
      </c>
      <c r="G41" s="13" t="n">
        <v>0.61</v>
      </c>
      <c r="H41" s="20" t="inlineStr">
        <is>
          <t>High-margin software subscription revenues and TPU 6th gen efficiencies</t>
        </is>
      </c>
    </row>
    <row r="42">
      <c r="A42" s="8" t="inlineStr">
        <is>
          <t>S&amp;M Expense (% of Revenue)</t>
        </is>
      </c>
      <c r="B42" s="13" t="n">
        <v>0.07000000000000001</v>
      </c>
      <c r="C42" s="13" t="n">
        <v>0.065</v>
      </c>
      <c r="D42" s="13" t="n">
        <v>0.062</v>
      </c>
      <c r="E42" s="13" t="n">
        <v>0.06</v>
      </c>
      <c r="F42" s="13" t="n">
        <v>0.058</v>
      </c>
      <c r="G42" s="13" t="n">
        <v>0.058</v>
      </c>
      <c r="H42" s="20" t="inlineStr">
        <is>
          <t>Self-reinforcing viral adoption of Gemini personal AI assistants</t>
        </is>
      </c>
    </row>
    <row r="43">
      <c r="A43" s="8" t="inlineStr">
        <is>
          <t>R&amp;D Expense (% of Revenue)</t>
        </is>
      </c>
      <c r="B43" s="13" t="n">
        <v>0.13</v>
      </c>
      <c r="C43" s="13" t="n">
        <v>0.125</v>
      </c>
      <c r="D43" s="13" t="n">
        <v>0.12</v>
      </c>
      <c r="E43" s="13" t="n">
        <v>0.115</v>
      </c>
      <c r="F43" s="13" t="n">
        <v>0.11</v>
      </c>
      <c r="G43" s="13" t="n">
        <v>0.11</v>
      </c>
      <c r="H43" s="20" t="inlineStr">
        <is>
          <t>Massive operating leverage across global developer ecosystem</t>
        </is>
      </c>
    </row>
    <row r="44">
      <c r="A44" s="8" t="inlineStr">
        <is>
          <t>G&amp;A Expense (% of Revenue)</t>
        </is>
      </c>
      <c r="B44" s="13" t="n">
        <v>0.038</v>
      </c>
      <c r="C44" s="13" t="n">
        <v>0.035</v>
      </c>
      <c r="D44" s="13" t="n">
        <v>0.032</v>
      </c>
      <c r="E44" s="13" t="n">
        <v>0.03</v>
      </c>
      <c r="F44" s="13" t="n">
        <v>0.03</v>
      </c>
      <c r="G44" s="13" t="n">
        <v>0.03</v>
      </c>
      <c r="H44" s="20" t="inlineStr">
        <is>
          <t>Maximized operational leverage and AI workflow automation</t>
        </is>
      </c>
    </row>
    <row r="45">
      <c r="A45" s="8" t="inlineStr">
        <is>
          <t>CapEx (% of Revenue)</t>
        </is>
      </c>
      <c r="B45" s="13" t="n">
        <v>0.37</v>
      </c>
      <c r="C45" s="13" t="n">
        <v>0.24</v>
      </c>
      <c r="D45" s="13" t="n">
        <v>0.16</v>
      </c>
      <c r="E45" s="13" t="n">
        <v>0.12</v>
      </c>
      <c r="F45" s="13" t="n">
        <v>0.09</v>
      </c>
      <c r="G45" s="13" t="n">
        <v>0.07000000000000001</v>
      </c>
      <c r="H45" s="20" t="inlineStr">
        <is>
          <t>Hyper-efficient AI compute architecture and external cloud monetization</t>
        </is>
      </c>
    </row>
    <row r="46">
      <c r="A46" s="8" t="inlineStr">
        <is>
          <t>Terminal Perpetuity Growth (g) / WACC</t>
        </is>
      </c>
      <c r="B46" s="21" t="inlineStr">
        <is>
          <t>-</t>
        </is>
      </c>
      <c r="C46" s="21" t="inlineStr">
        <is>
          <t>-</t>
        </is>
      </c>
      <c r="D46" s="21" t="inlineStr">
        <is>
          <t>-</t>
        </is>
      </c>
      <c r="E46" s="21" t="inlineStr">
        <is>
          <t>-</t>
        </is>
      </c>
      <c r="F46" s="21" t="inlineStr">
        <is>
          <t>-</t>
        </is>
      </c>
      <c r="G46" s="13" t="n">
        <v>0.035</v>
      </c>
      <c r="H46" s="20" t="inlineStr">
        <is>
          <t>Global GDP Outperformance (3.50%) | Bull WACC: 11.00%</t>
        </is>
      </c>
    </row>
    <row r="47">
      <c r="A47" s="16" t="inlineStr">
        <is>
          <t>ACTIVE CONSOLIDATED SCENARIO DRIVERS (DYNAMICALLY PULLED VIA SELECTOR)</t>
        </is>
      </c>
      <c r="B47" s="17" t="n"/>
      <c r="C47" s="17" t="n"/>
      <c r="D47" s="17" t="n"/>
      <c r="E47" s="17" t="n"/>
      <c r="F47" s="17" t="n"/>
      <c r="G47" s="17" t="n"/>
      <c r="H47" s="17" t="n"/>
    </row>
    <row r="48">
      <c r="A48" s="18" t="inlineStr">
        <is>
          <t>Assumption Driver</t>
        </is>
      </c>
      <c r="B48" s="19" t="inlineStr">
        <is>
          <t>FY26E</t>
        </is>
      </c>
      <c r="C48" s="19" t="inlineStr">
        <is>
          <t>FY27E</t>
        </is>
      </c>
      <c r="D48" s="19" t="inlineStr">
        <is>
          <t>FY28E</t>
        </is>
      </c>
      <c r="E48" s="19" t="inlineStr">
        <is>
          <t>FY29E</t>
        </is>
      </c>
      <c r="F48" s="19" t="inlineStr">
        <is>
          <t>FY30E</t>
        </is>
      </c>
      <c r="G48" s="19" t="inlineStr">
        <is>
          <t>Terminal</t>
        </is>
      </c>
      <c r="H48" s="18" t="inlineStr">
        <is>
          <t>Parameter Description / Methodology</t>
        </is>
      </c>
    </row>
    <row r="49">
      <c r="A49" s="11" t="inlineStr">
        <is>
          <t>Selected Revenue Growth (%)</t>
        </is>
      </c>
      <c r="B49" s="22">
        <f>IF($B$4=1,B22,IF($B$4=2,B31,B40))</f>
        <v/>
      </c>
      <c r="C49" s="22">
        <f>IF($B$4=1,C22,IF($B$4=2,C31,C40))</f>
        <v/>
      </c>
      <c r="D49" s="22">
        <f>IF($B$4=1,D22,IF($B$4=2,D31,D40))</f>
        <v/>
      </c>
      <c r="E49" s="22">
        <f>IF($B$4=1,E22,IF($B$4=2,E31,E40))</f>
        <v/>
      </c>
      <c r="F49" s="22">
        <f>IF($B$4=1,F22,IF($B$4=2,F31,F40))</f>
        <v/>
      </c>
      <c r="G49" s="22">
        <f>IF($B$4=1,G22,IF($B$4=2,G31,G40))</f>
        <v/>
      </c>
      <c r="H49" s="20" t="inlineStr">
        <is>
          <t>Dynamic revenue growth rate linked to selected case</t>
        </is>
      </c>
    </row>
    <row r="50">
      <c r="A50" s="11" t="inlineStr">
        <is>
          <t>Selected Gross Margin (%)</t>
        </is>
      </c>
      <c r="B50" s="22">
        <f>IF($B$4=1,B23,IF($B$4=2,B32,B41))</f>
        <v/>
      </c>
      <c r="C50" s="22">
        <f>IF($B$4=1,C23,IF($B$4=2,C32,C41))</f>
        <v/>
      </c>
      <c r="D50" s="22">
        <f>IF($B$4=1,D23,IF($B$4=2,D32,D41))</f>
        <v/>
      </c>
      <c r="E50" s="22">
        <f>IF($B$4=1,E23,IF($B$4=2,E32,E41))</f>
        <v/>
      </c>
      <c r="F50" s="22">
        <f>IF($B$4=1,F23,IF($B$4=2,F32,F41))</f>
        <v/>
      </c>
      <c r="G50" s="22">
        <f>IF($B$4=1,G23,IF($B$4=2,G32,G41))</f>
        <v/>
      </c>
      <c r="H50" s="20" t="inlineStr">
        <is>
          <t>Dynamic gross profit margin linked to selected case</t>
        </is>
      </c>
    </row>
    <row r="51">
      <c r="A51" s="11" t="inlineStr">
        <is>
          <t>Selected S&amp;M Expense (%)</t>
        </is>
      </c>
      <c r="B51" s="22">
        <f>IF($B$4=1,B24,IF($B$4=2,B33,B42))</f>
        <v/>
      </c>
      <c r="C51" s="22">
        <f>IF($B$4=1,C24,IF($B$4=2,C33,C42))</f>
        <v/>
      </c>
      <c r="D51" s="22">
        <f>IF($B$4=1,D24,IF($B$4=2,D33,D42))</f>
        <v/>
      </c>
      <c r="E51" s="22">
        <f>IF($B$4=1,E24,IF($B$4=2,E33,E42))</f>
        <v/>
      </c>
      <c r="F51" s="22">
        <f>IF($B$4=1,F24,IF($B$4=2,F33,F42))</f>
        <v/>
      </c>
      <c r="G51" s="22">
        <f>IF($B$4=1,G24,IF($B$4=2,G33,G42))</f>
        <v/>
      </c>
      <c r="H51" s="20" t="inlineStr">
        <is>
          <t>Dynamic S&amp;M as % of revenue</t>
        </is>
      </c>
    </row>
    <row r="52">
      <c r="A52" s="11" t="inlineStr">
        <is>
          <t>Selected R&amp;D Expense (%)</t>
        </is>
      </c>
      <c r="B52" s="22">
        <f>IF($B$4=1,B25,IF($B$4=2,B34,B43))</f>
        <v/>
      </c>
      <c r="C52" s="22">
        <f>IF($B$4=1,C25,IF($B$4=2,C34,C43))</f>
        <v/>
      </c>
      <c r="D52" s="22">
        <f>IF($B$4=1,D25,IF($B$4=2,D34,D43))</f>
        <v/>
      </c>
      <c r="E52" s="22">
        <f>IF($B$4=1,E25,IF($B$4=2,E34,E43))</f>
        <v/>
      </c>
      <c r="F52" s="22">
        <f>IF($B$4=1,F25,IF($B$4=2,F34,F43))</f>
        <v/>
      </c>
      <c r="G52" s="22">
        <f>IF($B$4=1,G25,IF($B$4=2,G34,G43))</f>
        <v/>
      </c>
      <c r="H52" s="20" t="inlineStr">
        <is>
          <t>Dynamic R&amp;D as % of revenue</t>
        </is>
      </c>
    </row>
    <row r="53">
      <c r="A53" s="11" t="inlineStr">
        <is>
          <t>Selected G&amp;A Expense (%)</t>
        </is>
      </c>
      <c r="B53" s="22">
        <f>IF($B$4=1,B26,IF($B$4=2,B35,B44))</f>
        <v/>
      </c>
      <c r="C53" s="22">
        <f>IF($B$4=1,C26,IF($B$4=2,C35,C44))</f>
        <v/>
      </c>
      <c r="D53" s="22">
        <f>IF($B$4=1,D26,IF($B$4=2,D35,D44))</f>
        <v/>
      </c>
      <c r="E53" s="22">
        <f>IF($B$4=1,E26,IF($B$4=2,E35,E44))</f>
        <v/>
      </c>
      <c r="F53" s="22">
        <f>IF($B$4=1,F26,IF($B$4=2,F35,F44))</f>
        <v/>
      </c>
      <c r="G53" s="22">
        <f>IF($B$4=1,G26,IF($B$4=2,G35,G44))</f>
        <v/>
      </c>
      <c r="H53" s="20" t="inlineStr">
        <is>
          <t>Dynamic G&amp;A as % of revenue</t>
        </is>
      </c>
    </row>
    <row r="54">
      <c r="A54" s="11" t="inlineStr">
        <is>
          <t>Selected CapEx (% of Revenue)</t>
        </is>
      </c>
      <c r="B54" s="22">
        <f>IF($B$4=1,B27,IF($B$4=2,B36,B45))</f>
        <v/>
      </c>
      <c r="C54" s="22">
        <f>IF($B$4=1,C27,IF($B$4=2,C36,C45))</f>
        <v/>
      </c>
      <c r="D54" s="22">
        <f>IF($B$4=1,D27,IF($B$4=2,D36,D45))</f>
        <v/>
      </c>
      <c r="E54" s="22">
        <f>IF($B$4=1,E27,IF($B$4=2,E36,E45))</f>
        <v/>
      </c>
      <c r="F54" s="22">
        <f>IF($B$4=1,F27,IF($B$4=2,F36,F45))</f>
        <v/>
      </c>
      <c r="G54" s="22">
        <f>IF($B$4=1,G27,IF($B$4=2,G36,G45))</f>
        <v/>
      </c>
      <c r="H54" s="20" t="inlineStr">
        <is>
          <t>Dynamic CapEx intensity as % of revenue</t>
        </is>
      </c>
    </row>
    <row r="55">
      <c r="A55" s="11" t="inlineStr">
        <is>
          <t>Selected Terminal Growth (g)</t>
        </is>
      </c>
      <c r="B55" s="21" t="inlineStr">
        <is>
          <t>-</t>
        </is>
      </c>
      <c r="C55" s="21" t="inlineStr">
        <is>
          <t>-</t>
        </is>
      </c>
      <c r="D55" s="21" t="inlineStr">
        <is>
          <t>-</t>
        </is>
      </c>
      <c r="E55" s="21" t="inlineStr">
        <is>
          <t>-</t>
        </is>
      </c>
      <c r="F55" s="21" t="inlineStr">
        <is>
          <t>-</t>
        </is>
      </c>
      <c r="G55" s="22">
        <f>IF($B$4=1,G28,IF($B$4=2,G37,G46))</f>
        <v/>
      </c>
      <c r="H55" s="20" t="inlineStr">
        <is>
          <t>Dynamic terminal perpetuity growth rate</t>
        </is>
      </c>
    </row>
    <row r="56">
      <c r="A56" s="11" t="inlineStr">
        <is>
          <t>Applied WACC Discount Rate (%)</t>
        </is>
      </c>
      <c r="B56" s="23">
        <f>'WACC Build'!$E$26</f>
        <v/>
      </c>
      <c r="C56" s="23">
        <f>'WACC Build'!$E$26</f>
        <v/>
      </c>
      <c r="D56" s="23">
        <f>'WACC Build'!$E$26</f>
        <v/>
      </c>
      <c r="E56" s="23">
        <f>'WACC Build'!$E$26</f>
        <v/>
      </c>
      <c r="F56" s="23">
        <f>'WACC Build'!$E$26</f>
        <v/>
      </c>
      <c r="G56" s="23">
        <f>'WACC Build'!$E$26</f>
        <v/>
      </c>
      <c r="H56" s="20" t="inlineStr">
        <is>
          <t>加權平均資金成本 (WACC Build 連結)</t>
        </is>
      </c>
    </row>
    <row r="58">
      <c r="A58" s="6" t="inlineStr">
        <is>
          <t>III. CONSOLIDATED INCOME STATEMENT PROJECTIONS ($M)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18" t="inlineStr">
        <is>
          <t>Income Statement Line Item ($M)</t>
        </is>
      </c>
      <c r="B59" s="24" t="inlineStr">
        <is>
          <t>FY24A</t>
        </is>
      </c>
      <c r="C59" s="24" t="inlineStr">
        <is>
          <t>FY25A</t>
        </is>
      </c>
      <c r="D59" s="24" t="inlineStr">
        <is>
          <t>FY26E</t>
        </is>
      </c>
      <c r="E59" s="24" t="inlineStr">
        <is>
          <t>FY27E</t>
        </is>
      </c>
      <c r="F59" s="24" t="inlineStr">
        <is>
          <t>FY28E</t>
        </is>
      </c>
      <c r="G59" s="24" t="inlineStr">
        <is>
          <t>FY29E</t>
        </is>
      </c>
      <c r="H59" s="24" t="inlineStr">
        <is>
          <t>FY30E</t>
        </is>
      </c>
    </row>
    <row r="60">
      <c r="A60" s="11" t="inlineStr">
        <is>
          <t>Total Revenues</t>
        </is>
      </c>
      <c r="B60" s="25" t="n">
        <v>350018</v>
      </c>
      <c r="C60" s="25" t="n">
        <v>402836</v>
      </c>
      <c r="D60" s="26">
        <f>C60*(1+B49)</f>
        <v/>
      </c>
      <c r="E60" s="26">
        <f>D60*(1+C49)</f>
        <v/>
      </c>
      <c r="F60" s="26">
        <f>E60*(1+D49)</f>
        <v/>
      </c>
      <c r="G60" s="26">
        <f>F60*(1+E49)</f>
        <v/>
      </c>
      <c r="H60" s="26">
        <f>G60*(1+F49)</f>
        <v/>
      </c>
    </row>
    <row r="61">
      <c r="A61" s="8" t="inlineStr">
        <is>
          <t xml:space="preserve">  YoY Revenue Growth (%)</t>
        </is>
      </c>
      <c r="B61" s="27" t="n">
        <v>0.1387</v>
      </c>
      <c r="C61" s="27">
        <f>C60/B60-1</f>
        <v/>
      </c>
      <c r="D61" s="27">
        <f>D60/C60-1</f>
        <v/>
      </c>
      <c r="E61" s="27">
        <f>E60/D60-1</f>
        <v/>
      </c>
      <c r="F61" s="27">
        <f>F60/E60-1</f>
        <v/>
      </c>
      <c r="G61" s="27">
        <f>G60/F60-1</f>
        <v/>
      </c>
      <c r="H61" s="27">
        <f>H60/G60-1</f>
        <v/>
      </c>
    </row>
    <row r="62">
      <c r="A62" s="8" t="inlineStr">
        <is>
          <t>Cost of Revenues (TAC, Data Center Ops, Content)</t>
        </is>
      </c>
      <c r="B62" s="28" t="n">
        <v>146306</v>
      </c>
      <c r="C62" s="28" t="n">
        <v>167177</v>
      </c>
      <c r="D62" s="29">
        <f>D60-D63</f>
        <v/>
      </c>
      <c r="E62" s="29">
        <f>E60-E63</f>
        <v/>
      </c>
      <c r="F62" s="29">
        <f>F60-F63</f>
        <v/>
      </c>
      <c r="G62" s="29">
        <f>G60-G63</f>
        <v/>
      </c>
      <c r="H62" s="29">
        <f>H60-H63</f>
        <v/>
      </c>
    </row>
    <row r="63">
      <c r="A63" s="11" t="inlineStr">
        <is>
          <t>Gross Profit</t>
        </is>
      </c>
      <c r="B63" s="25" t="n">
        <v>203712</v>
      </c>
      <c r="C63" s="25" t="n">
        <v>235659</v>
      </c>
      <c r="D63" s="26">
        <f>D60*B50</f>
        <v/>
      </c>
      <c r="E63" s="26">
        <f>E60*C50</f>
        <v/>
      </c>
      <c r="F63" s="26">
        <f>F60*D50</f>
        <v/>
      </c>
      <c r="G63" s="26">
        <f>G60*E50</f>
        <v/>
      </c>
      <c r="H63" s="26">
        <f>H60*F50</f>
        <v/>
      </c>
    </row>
    <row r="64">
      <c r="A64" s="8" t="inlineStr">
        <is>
          <t xml:space="preserve">  Gross Profit Margin (%)</t>
        </is>
      </c>
      <c r="B64" s="27">
        <f>B63/B60</f>
        <v/>
      </c>
      <c r="C64" s="27">
        <f>C63/C60</f>
        <v/>
      </c>
      <c r="D64" s="27">
        <f>D63/D60</f>
        <v/>
      </c>
      <c r="E64" s="27">
        <f>E63/E60</f>
        <v/>
      </c>
      <c r="F64" s="27">
        <f>F63/F60</f>
        <v/>
      </c>
      <c r="G64" s="27">
        <f>G63/G60</f>
        <v/>
      </c>
      <c r="H64" s="27">
        <f>H63/H60</f>
        <v/>
      </c>
    </row>
    <row r="65">
      <c r="A65" s="8" t="inlineStr">
        <is>
          <t>Operating Expenses:</t>
        </is>
      </c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</row>
    <row r="66">
      <c r="A66" s="8" t="inlineStr">
        <is>
          <t xml:space="preserve">  Sales &amp; Marketing (S&amp;M)</t>
        </is>
      </c>
      <c r="B66" s="28" t="n">
        <v>28495</v>
      </c>
      <c r="C66" s="28" t="n">
        <v>32200</v>
      </c>
      <c r="D66" s="29">
        <f>D60*B51</f>
        <v/>
      </c>
      <c r="E66" s="29">
        <f>E60*C51</f>
        <v/>
      </c>
      <c r="F66" s="29">
        <f>F60*D51</f>
        <v/>
      </c>
      <c r="G66" s="29">
        <f>G60*E51</f>
        <v/>
      </c>
      <c r="H66" s="29">
        <f>H60*F51</f>
        <v/>
      </c>
    </row>
    <row r="67">
      <c r="A67" s="8" t="inlineStr">
        <is>
          <t xml:space="preserve">  Research &amp; Development (R&amp;D)</t>
        </is>
      </c>
      <c r="B67" s="28" t="n">
        <v>49326</v>
      </c>
      <c r="C67" s="28" t="n">
        <v>56400</v>
      </c>
      <c r="D67" s="29">
        <f>D60*B52</f>
        <v/>
      </c>
      <c r="E67" s="29">
        <f>E60*C52</f>
        <v/>
      </c>
      <c r="F67" s="29">
        <f>F60*D52</f>
        <v/>
      </c>
      <c r="G67" s="29">
        <f>G60*E52</f>
        <v/>
      </c>
      <c r="H67" s="29">
        <f>H60*F52</f>
        <v/>
      </c>
    </row>
    <row r="68">
      <c r="A68" s="8" t="inlineStr">
        <is>
          <t xml:space="preserve">  General &amp; Administrative (G&amp;A)</t>
        </is>
      </c>
      <c r="B68" s="28" t="n">
        <v>13501</v>
      </c>
      <c r="C68" s="28" t="n">
        <v>18020</v>
      </c>
      <c r="D68" s="29">
        <f>D60*B53</f>
        <v/>
      </c>
      <c r="E68" s="29">
        <f>E60*C53</f>
        <v/>
      </c>
      <c r="F68" s="29">
        <f>F60*D53</f>
        <v/>
      </c>
      <c r="G68" s="29">
        <f>G60*E53</f>
        <v/>
      </c>
      <c r="H68" s="29">
        <f>H60*F53</f>
        <v/>
      </c>
    </row>
    <row r="69">
      <c r="A69" s="11" t="inlineStr">
        <is>
          <t>Total Operating Expenses</t>
        </is>
      </c>
      <c r="B69" s="29">
        <f>B66+B67+B68</f>
        <v/>
      </c>
      <c r="C69" s="29">
        <f>C66+C67+C68</f>
        <v/>
      </c>
      <c r="D69" s="29">
        <f>D66+D67+D68</f>
        <v/>
      </c>
      <c r="E69" s="29">
        <f>E66+E67+E68</f>
        <v/>
      </c>
      <c r="F69" s="29">
        <f>F66+F67+F68</f>
        <v/>
      </c>
      <c r="G69" s="29">
        <f>G66+G67+G68</f>
        <v/>
      </c>
      <c r="H69" s="29">
        <f>H66+H67+H68</f>
        <v/>
      </c>
    </row>
    <row r="70">
      <c r="A70" s="30" t="inlineStr">
        <is>
          <t>Operating Income (EBIT)</t>
        </is>
      </c>
      <c r="B70" s="31" t="n">
        <v>112390</v>
      </c>
      <c r="C70" s="31" t="n">
        <v>129039</v>
      </c>
      <c r="D70" s="32">
        <f>D63-D69</f>
        <v/>
      </c>
      <c r="E70" s="32">
        <f>E63-E69</f>
        <v/>
      </c>
      <c r="F70" s="32">
        <f>F63-F69</f>
        <v/>
      </c>
      <c r="G70" s="32">
        <f>G63-G69</f>
        <v/>
      </c>
      <c r="H70" s="32">
        <f>H63-H69</f>
        <v/>
      </c>
    </row>
    <row r="71">
      <c r="A71" s="8" t="inlineStr">
        <is>
          <t xml:space="preserve">  EBIT Margin (%)</t>
        </is>
      </c>
      <c r="B71" s="27">
        <f>B70/B60</f>
        <v/>
      </c>
      <c r="C71" s="27">
        <f>C70/C60</f>
        <v/>
      </c>
      <c r="D71" s="27">
        <f>D70/D60</f>
        <v/>
      </c>
      <c r="E71" s="27">
        <f>E70/E60</f>
        <v/>
      </c>
      <c r="F71" s="27">
        <f>F70/F60</f>
        <v/>
      </c>
      <c r="G71" s="27">
        <f>G70/G60</f>
        <v/>
      </c>
      <c r="H71" s="27">
        <f>H70/H60</f>
        <v/>
      </c>
    </row>
    <row r="72">
      <c r="A72" s="8" t="inlineStr">
        <is>
          <t>Provision for Income Taxes</t>
        </is>
      </c>
      <c r="B72" s="29">
        <f>B70*$B$14</f>
        <v/>
      </c>
      <c r="C72" s="29">
        <f>C70*$B$14</f>
        <v/>
      </c>
      <c r="D72" s="29">
        <f>D70*$B$14</f>
        <v/>
      </c>
      <c r="E72" s="29">
        <f>E70*$B$14</f>
        <v/>
      </c>
      <c r="F72" s="29">
        <f>F70*$B$14</f>
        <v/>
      </c>
      <c r="G72" s="29">
        <f>G70*$B$14</f>
        <v/>
      </c>
      <c r="H72" s="29">
        <f>H70*$B$14</f>
        <v/>
      </c>
    </row>
    <row r="73">
      <c r="A73" s="8" t="inlineStr">
        <is>
          <t xml:space="preserve">  Effective Tax Rate (%)</t>
        </is>
      </c>
      <c r="B73" s="27">
        <f>B72/B70</f>
        <v/>
      </c>
      <c r="C73" s="27">
        <f>C72/C70</f>
        <v/>
      </c>
      <c r="D73" s="27">
        <f>D72/D70</f>
        <v/>
      </c>
      <c r="E73" s="27">
        <f>E72/E70</f>
        <v/>
      </c>
      <c r="F73" s="27">
        <f>F72/F70</f>
        <v/>
      </c>
      <c r="G73" s="27">
        <f>G72/G70</f>
        <v/>
      </c>
      <c r="H73" s="27">
        <f>H72/H70</f>
        <v/>
      </c>
    </row>
    <row r="74">
      <c r="A74" s="30" t="inlineStr">
        <is>
          <t>Net Operating Profit After Tax (NOPAT)</t>
        </is>
      </c>
      <c r="B74" s="32">
        <f>B70-B72</f>
        <v/>
      </c>
      <c r="C74" s="32">
        <f>C70-C72</f>
        <v/>
      </c>
      <c r="D74" s="32">
        <f>D70-D72</f>
        <v/>
      </c>
      <c r="E74" s="32">
        <f>E70-E72</f>
        <v/>
      </c>
      <c r="F74" s="32">
        <f>F70-F72</f>
        <v/>
      </c>
      <c r="G74" s="32">
        <f>G70-G72</f>
        <v/>
      </c>
      <c r="H74" s="32">
        <f>H70-H72</f>
        <v/>
      </c>
    </row>
    <row r="76">
      <c r="A76" s="6" t="inlineStr">
        <is>
          <t>IV. UNLEVERED FREE CASH FLOW BUILD (UFCF) ($M)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18" t="inlineStr">
        <is>
          <t>Cash Flow Line Item ($M)</t>
        </is>
      </c>
      <c r="B77" s="24" t="inlineStr">
        <is>
          <t>FY24A</t>
        </is>
      </c>
      <c r="C77" s="24" t="inlineStr">
        <is>
          <t>FY25A</t>
        </is>
      </c>
      <c r="D77" s="24" t="inlineStr">
        <is>
          <t>FY26E</t>
        </is>
      </c>
      <c r="E77" s="24" t="inlineStr">
        <is>
          <t>FY27E</t>
        </is>
      </c>
      <c r="F77" s="24" t="inlineStr">
        <is>
          <t>FY28E</t>
        </is>
      </c>
      <c r="G77" s="24" t="inlineStr">
        <is>
          <t>FY29E</t>
        </is>
      </c>
      <c r="H77" s="24" t="inlineStr">
        <is>
          <t>FY30E</t>
        </is>
      </c>
    </row>
    <row r="78">
      <c r="A78" s="11" t="inlineStr">
        <is>
          <t>Net Operating Profit After Tax (NOPAT)</t>
        </is>
      </c>
      <c r="B78" s="26">
        <f>B74</f>
        <v/>
      </c>
      <c r="C78" s="26">
        <f>C74</f>
        <v/>
      </c>
      <c r="D78" s="26">
        <f>D74</f>
        <v/>
      </c>
      <c r="E78" s="26">
        <f>E74</f>
        <v/>
      </c>
      <c r="F78" s="26">
        <f>F74</f>
        <v/>
      </c>
      <c r="G78" s="26">
        <f>G74</f>
        <v/>
      </c>
      <c r="H78" s="26">
        <f>H74</f>
        <v/>
      </c>
    </row>
    <row r="79">
      <c r="A79" s="8" t="inlineStr">
        <is>
          <t>(+) Depreciation &amp; Amortization (D&amp;A)</t>
        </is>
      </c>
      <c r="B79" s="28" t="n">
        <v>15311</v>
      </c>
      <c r="C79" s="28" t="n">
        <v>18530</v>
      </c>
      <c r="D79" s="29">
        <f>D60*0.055</f>
        <v/>
      </c>
      <c r="E79" s="29">
        <f>E60*0.062</f>
        <v/>
      </c>
      <c r="F79" s="29">
        <f>F60*0.068</f>
        <v/>
      </c>
      <c r="G79" s="29">
        <f>G60*0.070</f>
        <v/>
      </c>
      <c r="H79" s="29">
        <f>H60*0.070</f>
        <v/>
      </c>
    </row>
    <row r="80">
      <c r="A80" s="8" t="inlineStr">
        <is>
          <t xml:space="preserve">  D&amp;A (% of Revenue)</t>
        </is>
      </c>
      <c r="B80" s="27">
        <f>B79/B60</f>
        <v/>
      </c>
      <c r="C80" s="27">
        <f>C79/C60</f>
        <v/>
      </c>
      <c r="D80" s="27">
        <f>D79/D60</f>
        <v/>
      </c>
      <c r="E80" s="27">
        <f>E79/E60</f>
        <v/>
      </c>
      <c r="F80" s="27">
        <f>F79/F60</f>
        <v/>
      </c>
      <c r="G80" s="27">
        <f>G79/G60</f>
        <v/>
      </c>
      <c r="H80" s="27">
        <f>H79/H60</f>
        <v/>
      </c>
    </row>
    <row r="81">
      <c r="A81" s="8" t="inlineStr">
        <is>
          <t>(-) Capital Expenditures (AI Compute &amp; Data Centers)</t>
        </is>
      </c>
      <c r="B81" s="28" t="n">
        <v>52500</v>
      </c>
      <c r="C81" s="28" t="n">
        <v>91400</v>
      </c>
      <c r="D81" s="29">
        <f>D60*B54</f>
        <v/>
      </c>
      <c r="E81" s="29">
        <f>E60*C54</f>
        <v/>
      </c>
      <c r="F81" s="29">
        <f>F60*D54</f>
        <v/>
      </c>
      <c r="G81" s="29">
        <f>G60*E54</f>
        <v/>
      </c>
      <c r="H81" s="29">
        <f>H60*F54</f>
        <v/>
      </c>
    </row>
    <row r="82">
      <c r="A82" s="8" t="inlineStr">
        <is>
          <t xml:space="preserve">  CapEx (% of Revenue)</t>
        </is>
      </c>
      <c r="B82" s="27">
        <f>B81/B60</f>
        <v/>
      </c>
      <c r="C82" s="27">
        <f>C81/C60</f>
        <v/>
      </c>
      <c r="D82" s="27">
        <f>D81/D60</f>
        <v/>
      </c>
      <c r="E82" s="27">
        <f>E81/E60</f>
        <v/>
      </c>
      <c r="F82" s="27">
        <f>F81/F60</f>
        <v/>
      </c>
      <c r="G82" s="27">
        <f>G81/G60</f>
        <v/>
      </c>
      <c r="H82" s="27">
        <f>H81/H60</f>
        <v/>
      </c>
    </row>
    <row r="83">
      <c r="A83" s="8" t="inlineStr">
        <is>
          <t>(-) Change in Net Working Capital (ΔNWC @ 2.0% of ΔRev)</t>
        </is>
      </c>
      <c r="B83" s="28" t="n">
        <v>1200</v>
      </c>
      <c r="C83" s="28" t="n">
        <v>1056</v>
      </c>
      <c r="D83" s="29">
        <f>(D60-C60)*0.02</f>
        <v/>
      </c>
      <c r="E83" s="29">
        <f>(E60-D60)*0.02</f>
        <v/>
      </c>
      <c r="F83" s="29">
        <f>(F60-E60)*0.02</f>
        <v/>
      </c>
      <c r="G83" s="29">
        <f>(G60-F60)*0.02</f>
        <v/>
      </c>
      <c r="H83" s="29">
        <f>(H60-G60)*0.02</f>
        <v/>
      </c>
    </row>
    <row r="84">
      <c r="A84" s="30" t="inlineStr">
        <is>
          <t>Unlevered Free Cash Flow (UFCF)</t>
        </is>
      </c>
      <c r="B84" s="32">
        <f>B78+B79-B81-B83</f>
        <v/>
      </c>
      <c r="C84" s="32">
        <f>C78+C79-C81-C83</f>
        <v/>
      </c>
      <c r="D84" s="32">
        <f>D78+D79-D81-D83</f>
        <v/>
      </c>
      <c r="E84" s="32">
        <f>E78+E79-E81-E83</f>
        <v/>
      </c>
      <c r="F84" s="32">
        <f>F78+F79-F81-F83</f>
        <v/>
      </c>
      <c r="G84" s="32">
        <f>G78+G79-G81-G83</f>
        <v/>
      </c>
      <c r="H84" s="32">
        <f>H78+H79-H81-H83</f>
        <v/>
      </c>
    </row>
    <row r="85">
      <c r="A85" s="8" t="inlineStr">
        <is>
          <t xml:space="preserve">  FCF Conversion (% of NOPAT)</t>
        </is>
      </c>
      <c r="B85" s="27">
        <f>B84/B78</f>
        <v/>
      </c>
      <c r="C85" s="27">
        <f>C84/C78</f>
        <v/>
      </c>
      <c r="D85" s="27">
        <f>D84/D78</f>
        <v/>
      </c>
      <c r="E85" s="27">
        <f>E84/E78</f>
        <v/>
      </c>
      <c r="F85" s="27">
        <f>F84/F78</f>
        <v/>
      </c>
      <c r="G85" s="27">
        <f>G84/G78</f>
        <v/>
      </c>
      <c r="H85" s="27">
        <f>H84/H78</f>
        <v/>
      </c>
    </row>
    <row r="87">
      <c r="A87" s="6" t="inlineStr">
        <is>
          <t>V. DISCOUNTING SCHEDULE, TERMINAL VALUE &amp; VALUATION BRIDGE ($M)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18" t="inlineStr">
        <is>
          <t>Valuation &amp; Discounting Line Item</t>
        </is>
      </c>
      <c r="B88" s="24" t="inlineStr">
        <is>
          <t>FY26E</t>
        </is>
      </c>
      <c r="C88" s="24" t="inlineStr">
        <is>
          <t>FY27E</t>
        </is>
      </c>
      <c r="D88" s="24" t="inlineStr">
        <is>
          <t>FY28E</t>
        </is>
      </c>
      <c r="E88" s="24" t="inlineStr">
        <is>
          <t>FY29E</t>
        </is>
      </c>
      <c r="F88" s="24" t="inlineStr">
        <is>
          <t>FY30E</t>
        </is>
      </c>
      <c r="G88" s="24" t="inlineStr">
        <is>
          <t>Terminal Period</t>
        </is>
      </c>
      <c r="H88" s="18" t="inlineStr">
        <is>
          <t>Summary Totals / Metric Description</t>
        </is>
      </c>
    </row>
    <row r="89">
      <c r="A89" s="11" t="inlineStr">
        <is>
          <t>Unlevered Free Cash Flow (UFCF) ($M)</t>
        </is>
      </c>
      <c r="B89" s="26">
        <f>D84</f>
        <v/>
      </c>
      <c r="C89" s="26">
        <f>E84</f>
        <v/>
      </c>
      <c r="D89" s="26">
        <f>F84</f>
        <v/>
      </c>
      <c r="E89" s="26">
        <f>G84</f>
        <v/>
      </c>
      <c r="F89" s="26">
        <f>H84</f>
        <v/>
      </c>
      <c r="G89" s="26">
        <f>F89*(1+G55)</f>
        <v/>
      </c>
      <c r="H89" s="26">
        <f>SUM(B89:F89)</f>
        <v/>
      </c>
    </row>
    <row r="90">
      <c r="A90" s="8" t="inlineStr">
        <is>
          <t>Mid-Year Discount Period (t)</t>
        </is>
      </c>
      <c r="B90" s="33" t="n">
        <v>0.5</v>
      </c>
      <c r="C90" s="33" t="n">
        <v>1.5</v>
      </c>
      <c r="D90" s="33" t="n">
        <v>2.5</v>
      </c>
      <c r="E90" s="33" t="n">
        <v>3.5</v>
      </c>
      <c r="F90" s="33" t="n">
        <v>4.5</v>
      </c>
      <c r="G90" s="33" t="n">
        <v>4.5</v>
      </c>
      <c r="H90" s="34" t="inlineStr">
        <is>
          <t>-</t>
        </is>
      </c>
    </row>
    <row r="91">
      <c r="A91" s="8" t="inlineStr">
        <is>
          <t>Discount Factor (WACC Discounting)</t>
        </is>
      </c>
      <c r="B91" s="35">
        <f>1/(1+$B$56)^B90</f>
        <v/>
      </c>
      <c r="C91" s="35">
        <f>1/(1+$B$56)^C90</f>
        <v/>
      </c>
      <c r="D91" s="35">
        <f>1/(1+$B$56)^D90</f>
        <v/>
      </c>
      <c r="E91" s="35">
        <f>1/(1+$B$56)^E90</f>
        <v/>
      </c>
      <c r="F91" s="35">
        <f>1/(1+$B$56)^F90</f>
        <v/>
      </c>
      <c r="G91" s="35">
        <f>1/(1+$B$56)^G90</f>
        <v/>
      </c>
      <c r="H91" s="36" t="inlineStr">
        <is>
          <t>-</t>
        </is>
      </c>
    </row>
    <row r="92">
      <c r="A92" s="11" t="inlineStr">
        <is>
          <t>Present Value of Cash Flow (PV of UFCF)</t>
        </is>
      </c>
      <c r="B92" s="26">
        <f>B89*B91</f>
        <v/>
      </c>
      <c r="C92" s="26">
        <f>C89*C91</f>
        <v/>
      </c>
      <c r="D92" s="26">
        <f>D89*D91</f>
        <v/>
      </c>
      <c r="E92" s="26">
        <f>E89*E91</f>
        <v/>
      </c>
      <c r="F92" s="26">
        <f>F89*F91</f>
        <v/>
      </c>
      <c r="G92" s="37" t="inlineStr">
        <is>
          <t>-</t>
        </is>
      </c>
      <c r="H92" s="26">
        <f>SUM(B92:F92)</f>
        <v/>
      </c>
    </row>
    <row r="93">
      <c r="A93" s="11" t="inlineStr">
        <is>
          <t>Nominal Terminal Value (Perpetuity Growth Method)</t>
        </is>
      </c>
      <c r="B93" s="38" t="inlineStr">
        <is>
          <t>-</t>
        </is>
      </c>
      <c r="C93" s="38" t="inlineStr">
        <is>
          <t>-</t>
        </is>
      </c>
      <c r="D93" s="38" t="inlineStr">
        <is>
          <t>-</t>
        </is>
      </c>
      <c r="E93" s="38" t="inlineStr">
        <is>
          <t>-</t>
        </is>
      </c>
      <c r="F93" s="38" t="inlineStr">
        <is>
          <t>-</t>
        </is>
      </c>
      <c r="G93" s="29">
        <f>G89/($B$56-G55)</f>
        <v/>
      </c>
      <c r="H93" s="38" t="inlineStr">
        <is>
          <t>-</t>
        </is>
      </c>
    </row>
    <row r="94">
      <c r="A94" s="11" t="inlineStr">
        <is>
          <t>Present Value of Terminal Value (PV of TV)</t>
        </is>
      </c>
      <c r="B94" s="37" t="inlineStr">
        <is>
          <t>-</t>
        </is>
      </c>
      <c r="C94" s="37" t="inlineStr">
        <is>
          <t>-</t>
        </is>
      </c>
      <c r="D94" s="37" t="inlineStr">
        <is>
          <t>-</t>
        </is>
      </c>
      <c r="E94" s="37" t="inlineStr">
        <is>
          <t>-</t>
        </is>
      </c>
      <c r="F94" s="37" t="inlineStr">
        <is>
          <t>-</t>
        </is>
      </c>
      <c r="G94" s="26">
        <f>G93*G91</f>
        <v/>
      </c>
      <c r="H94" s="37" t="inlineStr">
        <is>
          <t>-</t>
        </is>
      </c>
    </row>
    <row r="96">
      <c r="A96" s="16" t="inlineStr">
        <is>
          <t>VALUATION BRIDGE &amp; PER-SHARE IMPLICATIONS</t>
        </is>
      </c>
      <c r="B96" s="17" t="n"/>
      <c r="C96" s="17" t="n"/>
    </row>
    <row r="97">
      <c r="A97" s="8" t="inlineStr">
        <is>
          <t>Cumulative PV of Explicit 5-Year FCFs ($M)</t>
        </is>
      </c>
      <c r="B97" s="39">
        <f>H92</f>
        <v/>
      </c>
      <c r="D97" s="40" t="inlineStr">
        <is>
          <t>Terminal Value Checks &amp; Metrics:</t>
        </is>
      </c>
    </row>
    <row r="98">
      <c r="A98" s="8" t="inlineStr">
        <is>
          <t>Present Value of Terminal Value ($M)</t>
        </is>
      </c>
      <c r="B98" s="39">
        <f>G94</f>
        <v/>
      </c>
      <c r="D98" s="8" t="inlineStr">
        <is>
          <t>PV of TV % of Enterprise Value</t>
        </is>
      </c>
      <c r="E98" s="22">
        <f>B98/B99</f>
        <v/>
      </c>
    </row>
    <row r="99">
      <c r="A99" s="41" t="inlineStr">
        <is>
          <t>Enterprise Value ($M)</t>
        </is>
      </c>
      <c r="B99" s="42">
        <f>B97+B98</f>
        <v/>
      </c>
      <c r="D99" s="8" t="inlineStr">
        <is>
          <t>Implied Exit Multiple (EV / FY30E EBITDA)</t>
        </is>
      </c>
      <c r="E99" s="43">
        <f>B99/(H70+H79)</f>
        <v/>
      </c>
    </row>
    <row r="100">
      <c r="A100" s="8" t="inlineStr">
        <is>
          <t>(-) Total Debt ($M)</t>
        </is>
      </c>
      <c r="B100" s="39">
        <f>-B11</f>
        <v/>
      </c>
    </row>
    <row r="101">
      <c r="A101" s="8" t="inlineStr">
        <is>
          <t>(+) Cash, Cash Eq. &amp; Marketable Securities ($M)</t>
        </is>
      </c>
      <c r="B101" s="39">
        <f>B10</f>
        <v/>
      </c>
    </row>
    <row r="102">
      <c r="A102" s="8" t="inlineStr">
        <is>
          <t>Net Debt Adjustment [Net Cash Addition] ($M)</t>
        </is>
      </c>
      <c r="B102" s="39">
        <f>B100+B101</f>
        <v/>
      </c>
    </row>
    <row r="103">
      <c r="A103" s="41" t="inlineStr">
        <is>
          <t>Implied Equity Value ($M)</t>
        </is>
      </c>
      <c r="B103" s="42">
        <f>B99+B102</f>
        <v/>
      </c>
    </row>
    <row r="104">
      <c r="A104" s="8" t="inlineStr">
        <is>
          <t>Diluted Shares Outstanding (M)</t>
        </is>
      </c>
      <c r="B104" s="44">
        <f>B8</f>
        <v/>
      </c>
    </row>
    <row r="105">
      <c r="A105" s="41" t="inlineStr">
        <is>
          <t>IMPLIED INTRINSIC VALUE PER SHARE ($)</t>
        </is>
      </c>
      <c r="B105" s="42">
        <f>B103/B104</f>
        <v/>
      </c>
    </row>
    <row r="106">
      <c r="A106" s="8" t="inlineStr">
        <is>
          <t>Current Market Stock Price ($)</t>
        </is>
      </c>
      <c r="B106" s="39">
        <f>B7</f>
        <v/>
      </c>
    </row>
    <row r="107">
      <c r="A107" s="41" t="inlineStr">
        <is>
          <t>Implied Upside / (Downside) (%)</t>
        </is>
      </c>
      <c r="B107" s="45">
        <f>B105/B106-1</f>
        <v/>
      </c>
    </row>
    <row r="110">
      <c r="A110" s="6" t="inlineStr">
        <is>
          <t>VI. INSTITUTIONAL SENSITIVITY MATRICES (5x5 GRIDS WITH FULL DCF RECALCULATION)</t>
        </is>
      </c>
      <c r="B110" s="7" t="n"/>
      <c r="C110" s="7" t="n"/>
      <c r="D110" s="7" t="n"/>
      <c r="E110" s="7" t="n"/>
      <c r="F110" s="7" t="n"/>
      <c r="G110" s="7" t="n"/>
      <c r="H110" s="7" t="n"/>
    </row>
    <row r="112">
      <c r="A112" s="16" t="inlineStr">
        <is>
          <t>TABLE 1: IMPLIED SHARE PRICE ($) - WACC vs. TERMINAL GROWTH RATE (g)</t>
        </is>
      </c>
      <c r="B112" s="17" t="n"/>
      <c r="C112" s="17" t="n"/>
      <c r="D112" s="17" t="n"/>
      <c r="E112" s="17" t="n"/>
      <c r="F112" s="17" t="n"/>
    </row>
    <row r="113">
      <c r="A113" s="19" t="inlineStr">
        <is>
          <t>WACC \ Terminal g</t>
        </is>
      </c>
      <c r="B113" s="46" t="n">
        <v>0.02</v>
      </c>
      <c r="C113" s="46" t="n">
        <v>0.025</v>
      </c>
      <c r="D113" s="47" t="n">
        <v>0.03</v>
      </c>
      <c r="E113" s="46" t="n">
        <v>0.035</v>
      </c>
      <c r="F113" s="46" t="n">
        <v>0.04</v>
      </c>
    </row>
    <row r="114">
      <c r="A114" s="48" t="n">
        <v>0.1078</v>
      </c>
      <c r="B114" s="39">
        <f>(($B$89/(1+$A114)^0.5 + $C$89/(1+$A114)^1.5 + $D$89/(1+$A114)^2.5 + $E$89/(1+$A114)^3.5 + $F$89/(1+$A114)^4.5) + (($F$89*(1+B$113)/($A114-B$113))/(1+$A114)^4.5) + $B$102)/$B$104</f>
        <v/>
      </c>
      <c r="C114" s="39">
        <f>(($B$89/(1+$A114)^0.5 + $C$89/(1+$A114)^1.5 + $D$89/(1+$A114)^2.5 + $E$89/(1+$A114)^3.5 + $F$89/(1+$A114)^4.5) + (($F$89*(1+C$113)/($A114-C$113))/(1+$A114)^4.5) + $B$102)/$B$104</f>
        <v/>
      </c>
      <c r="D114" s="39">
        <f>(($B$89/(1+$A114)^0.5 + $C$89/(1+$A114)^1.5 + $D$89/(1+$A114)^2.5 + $E$89/(1+$A114)^3.5 + $F$89/(1+$A114)^4.5) + (($F$89*(1+D$113)/($A114-D$113))/(1+$A114)^4.5) + $B$102)/$B$104</f>
        <v/>
      </c>
      <c r="E114" s="39">
        <f>(($B$89/(1+$A114)^0.5 + $C$89/(1+$A114)^1.5 + $D$89/(1+$A114)^2.5 + $E$89/(1+$A114)^3.5 + $F$89/(1+$A114)^4.5) + (($F$89*(1+E$113)/($A114-E$113))/(1+$A114)^4.5) + $B$102)/$B$104</f>
        <v/>
      </c>
      <c r="F114" s="39">
        <f>(($B$89/(1+$A114)^0.5 + $C$89/(1+$A114)^1.5 + $D$89/(1+$A114)^2.5 + $E$89/(1+$A114)^3.5 + $F$89/(1+$A114)^4.5) + (($F$89*(1+F$113)/($A114-F$113))/(1+$A114)^4.5) + $B$102)/$B$104</f>
        <v/>
      </c>
    </row>
    <row r="115">
      <c r="A115" s="48" t="n">
        <v>0.1128</v>
      </c>
      <c r="B115" s="39">
        <f>(($B$89/(1+$A115)^0.5 + $C$89/(1+$A115)^1.5 + $D$89/(1+$A115)^2.5 + $E$89/(1+$A115)^3.5 + $F$89/(1+$A115)^4.5) + (($F$89*(1+B$113)/($A115-B$113))/(1+$A115)^4.5) + $B$102)/$B$104</f>
        <v/>
      </c>
      <c r="C115" s="39">
        <f>(($B$89/(1+$A115)^0.5 + $C$89/(1+$A115)^1.5 + $D$89/(1+$A115)^2.5 + $E$89/(1+$A115)^3.5 + $F$89/(1+$A115)^4.5) + (($F$89*(1+C$113)/($A115-C$113))/(1+$A115)^4.5) + $B$102)/$B$104</f>
        <v/>
      </c>
      <c r="D115" s="39">
        <f>(($B$89/(1+$A115)^0.5 + $C$89/(1+$A115)^1.5 + $D$89/(1+$A115)^2.5 + $E$89/(1+$A115)^3.5 + $F$89/(1+$A115)^4.5) + (($F$89*(1+D$113)/($A115-D$113))/(1+$A115)^4.5) + $B$102)/$B$104</f>
        <v/>
      </c>
      <c r="E115" s="39">
        <f>(($B$89/(1+$A115)^0.5 + $C$89/(1+$A115)^1.5 + $D$89/(1+$A115)^2.5 + $E$89/(1+$A115)^3.5 + $F$89/(1+$A115)^4.5) + (($F$89*(1+E$113)/($A115-E$113))/(1+$A115)^4.5) + $B$102)/$B$104</f>
        <v/>
      </c>
      <c r="F115" s="39">
        <f>(($B$89/(1+$A115)^0.5 + $C$89/(1+$A115)^1.5 + $D$89/(1+$A115)^2.5 + $E$89/(1+$A115)^3.5 + $F$89/(1+$A115)^4.5) + (($F$89*(1+F$113)/($A115-F$113))/(1+$A115)^4.5) + $B$102)/$B$104</f>
        <v/>
      </c>
    </row>
    <row r="116">
      <c r="A116" s="49" t="n">
        <v>0.1178</v>
      </c>
      <c r="B116" s="39">
        <f>(($B$89/(1+$A116)^0.5 + $C$89/(1+$A116)^1.5 + $D$89/(1+$A116)^2.5 + $E$89/(1+$A116)^3.5 + $F$89/(1+$A116)^4.5) + (($F$89*(1+B$113)/($A116-B$113))/(1+$A116)^4.5) + $B$102)/$B$104</f>
        <v/>
      </c>
      <c r="C116" s="39">
        <f>(($B$89/(1+$A116)^0.5 + $C$89/(1+$A116)^1.5 + $D$89/(1+$A116)^2.5 + $E$89/(1+$A116)^3.5 + $F$89/(1+$A116)^4.5) + (($F$89*(1+C$113)/($A116-C$113))/(1+$A116)^4.5) + $B$102)/$B$104</f>
        <v/>
      </c>
      <c r="D116" s="50">
        <f>(($B$89/(1+$A116)^0.5 + $C$89/(1+$A116)^1.5 + $D$89/(1+$A116)^2.5 + $E$89/(1+$A116)^3.5 + $F$89/(1+$A116)^4.5) + (($F$89*(1+D$113)/($A116-D$113))/(1+$A116)^4.5) + $B$102)/$B$104</f>
        <v/>
      </c>
      <c r="E116" s="39">
        <f>(($B$89/(1+$A116)^0.5 + $C$89/(1+$A116)^1.5 + $D$89/(1+$A116)^2.5 + $E$89/(1+$A116)^3.5 + $F$89/(1+$A116)^4.5) + (($F$89*(1+E$113)/($A116-E$113))/(1+$A116)^4.5) + $B$102)/$B$104</f>
        <v/>
      </c>
      <c r="F116" s="39">
        <f>(($B$89/(1+$A116)^0.5 + $C$89/(1+$A116)^1.5 + $D$89/(1+$A116)^2.5 + $E$89/(1+$A116)^3.5 + $F$89/(1+$A116)^4.5) + (($F$89*(1+F$113)/($A116-F$113))/(1+$A116)^4.5) + $B$102)/$B$104</f>
        <v/>
      </c>
    </row>
    <row r="117">
      <c r="A117" s="48" t="n">
        <v>0.1228</v>
      </c>
      <c r="B117" s="39">
        <f>(($B$89/(1+$A117)^0.5 + $C$89/(1+$A117)^1.5 + $D$89/(1+$A117)^2.5 + $E$89/(1+$A117)^3.5 + $F$89/(1+$A117)^4.5) + (($F$89*(1+B$113)/($A117-B$113))/(1+$A117)^4.5) + $B$102)/$B$104</f>
        <v/>
      </c>
      <c r="C117" s="39">
        <f>(($B$89/(1+$A117)^0.5 + $C$89/(1+$A117)^1.5 + $D$89/(1+$A117)^2.5 + $E$89/(1+$A117)^3.5 + $F$89/(1+$A117)^4.5) + (($F$89*(1+C$113)/($A117-C$113))/(1+$A117)^4.5) + $B$102)/$B$104</f>
        <v/>
      </c>
      <c r="D117" s="39">
        <f>(($B$89/(1+$A117)^0.5 + $C$89/(1+$A117)^1.5 + $D$89/(1+$A117)^2.5 + $E$89/(1+$A117)^3.5 + $F$89/(1+$A117)^4.5) + (($F$89*(1+D$113)/($A117-D$113))/(1+$A117)^4.5) + $B$102)/$B$104</f>
        <v/>
      </c>
      <c r="E117" s="39">
        <f>(($B$89/(1+$A117)^0.5 + $C$89/(1+$A117)^1.5 + $D$89/(1+$A117)^2.5 + $E$89/(1+$A117)^3.5 + $F$89/(1+$A117)^4.5) + (($F$89*(1+E$113)/($A117-E$113))/(1+$A117)^4.5) + $B$102)/$B$104</f>
        <v/>
      </c>
      <c r="F117" s="39">
        <f>(($B$89/(1+$A117)^0.5 + $C$89/(1+$A117)^1.5 + $D$89/(1+$A117)^2.5 + $E$89/(1+$A117)^3.5 + $F$89/(1+$A117)^4.5) + (($F$89*(1+F$113)/($A117-F$113))/(1+$A117)^4.5) + $B$102)/$B$104</f>
        <v/>
      </c>
    </row>
    <row r="118">
      <c r="A118" s="48" t="n">
        <v>0.1278</v>
      </c>
      <c r="B118" s="39">
        <f>(($B$89/(1+$A118)^0.5 + $C$89/(1+$A118)^1.5 + $D$89/(1+$A118)^2.5 + $E$89/(1+$A118)^3.5 + $F$89/(1+$A118)^4.5) + (($F$89*(1+B$113)/($A118-B$113))/(1+$A118)^4.5) + $B$102)/$B$104</f>
        <v/>
      </c>
      <c r="C118" s="39">
        <f>(($B$89/(1+$A118)^0.5 + $C$89/(1+$A118)^1.5 + $D$89/(1+$A118)^2.5 + $E$89/(1+$A118)^3.5 + $F$89/(1+$A118)^4.5) + (($F$89*(1+C$113)/($A118-C$113))/(1+$A118)^4.5) + $B$102)/$B$104</f>
        <v/>
      </c>
      <c r="D118" s="39">
        <f>(($B$89/(1+$A118)^0.5 + $C$89/(1+$A118)^1.5 + $D$89/(1+$A118)^2.5 + $E$89/(1+$A118)^3.5 + $F$89/(1+$A118)^4.5) + (($F$89*(1+D$113)/($A118-D$113))/(1+$A118)^4.5) + $B$102)/$B$104</f>
        <v/>
      </c>
      <c r="E118" s="39">
        <f>(($B$89/(1+$A118)^0.5 + $C$89/(1+$A118)^1.5 + $D$89/(1+$A118)^2.5 + $E$89/(1+$A118)^3.5 + $F$89/(1+$A118)^4.5) + (($F$89*(1+E$113)/($A118-E$113))/(1+$A118)^4.5) + $B$102)/$B$104</f>
        <v/>
      </c>
      <c r="F118" s="39">
        <f>(($B$89/(1+$A118)^0.5 + $C$89/(1+$A118)^1.5 + $D$89/(1+$A118)^2.5 + $E$89/(1+$A118)^3.5 + $F$89/(1+$A118)^4.5) + (($F$89*(1+F$113)/($A118-F$113))/(1+$A118)^4.5) + $B$102)/$B$104</f>
        <v/>
      </c>
    </row>
    <row r="122">
      <c r="A122" s="16" t="inlineStr">
        <is>
          <t>TABLE 2: IMPLIED SHARE PRICE ($) - REVENUE GROWTH MULTIPLIER vs. FY30E EBIT MARGIN</t>
        </is>
      </c>
      <c r="B122" s="17" t="n"/>
      <c r="C122" s="17" t="n"/>
      <c r="D122" s="17" t="n"/>
      <c r="E122" s="17" t="n"/>
      <c r="F122" s="17" t="n"/>
    </row>
    <row r="123">
      <c r="A123" s="19" t="inlineStr">
        <is>
          <t>Growth Index \ EBIT Margin</t>
        </is>
      </c>
      <c r="B123" s="46" t="n">
        <v>0.315</v>
      </c>
      <c r="C123" s="46" t="n">
        <v>0.335</v>
      </c>
      <c r="D123" s="47" t="n">
        <v>0.355</v>
      </c>
      <c r="E123" s="46" t="n">
        <v>0.375</v>
      </c>
      <c r="F123" s="46" t="n">
        <v>0.395</v>
      </c>
    </row>
    <row r="124">
      <c r="A124" s="51" t="n">
        <v>0.8</v>
      </c>
      <c r="B124" s="39">
        <f>((($B$89*$A124*(B$123/$H$71)/(1+$B$56)^0.5 + $C$89*$A124*(B$123/$H$71)/(1+$B$56)^1.5 + $D$89*$A124*(B$123/$H$71)/(1+$B$56)^2.5 + $E$89*$A124*(B$123/$H$71)/(1+$B$56)^3.5 + $F$89*$A124*(B$123/$H$71)/(1+$B$56)^4.5) + (($F$89*$A124*(B$123/$H$71)*(1+$G$55)/($B$56-$G$55))/(1+$B$56)^4.5) + $B$102)/$B$104)</f>
        <v/>
      </c>
      <c r="C124" s="39">
        <f>((($B$89*$A124*(C$123/$H$71)/(1+$B$56)^0.5 + $C$89*$A124*(C$123/$H$71)/(1+$B$56)^1.5 + $D$89*$A124*(C$123/$H$71)/(1+$B$56)^2.5 + $E$89*$A124*(C$123/$H$71)/(1+$B$56)^3.5 + $F$89*$A124*(C$123/$H$71)/(1+$B$56)^4.5) + (($F$89*$A124*(C$123/$H$71)*(1+$G$55)/($B$56-$G$55))/(1+$B$56)^4.5) + $B$102)/$B$104)</f>
        <v/>
      </c>
      <c r="D124" s="39">
        <f>((($B$89*$A124*(D$123/$H$71)/(1+$B$56)^0.5 + $C$89*$A124*(D$123/$H$71)/(1+$B$56)^1.5 + $D$89*$A124*(D$123/$H$71)/(1+$B$56)^2.5 + $E$89*$A124*(D$123/$H$71)/(1+$B$56)^3.5 + $F$89*$A124*(D$123/$H$71)/(1+$B$56)^4.5) + (($F$89*$A124*(D$123/$H$71)*(1+$G$55)/($B$56-$G$55))/(1+$B$56)^4.5) + $B$102)/$B$104)</f>
        <v/>
      </c>
      <c r="E124" s="39">
        <f>((($B$89*$A124*(E$123/$H$71)/(1+$B$56)^0.5 + $C$89*$A124*(E$123/$H$71)/(1+$B$56)^1.5 + $D$89*$A124*(E$123/$H$71)/(1+$B$56)^2.5 + $E$89*$A124*(E$123/$H$71)/(1+$B$56)^3.5 + $F$89*$A124*(E$123/$H$71)/(1+$B$56)^4.5) + (($F$89*$A124*(E$123/$H$71)*(1+$G$55)/($B$56-$G$55))/(1+$B$56)^4.5) + $B$102)/$B$104)</f>
        <v/>
      </c>
      <c r="F124" s="39">
        <f>((($B$89*$A124*(F$123/$H$71)/(1+$B$56)^0.5 + $C$89*$A124*(F$123/$H$71)/(1+$B$56)^1.5 + $D$89*$A124*(F$123/$H$71)/(1+$B$56)^2.5 + $E$89*$A124*(F$123/$H$71)/(1+$B$56)^3.5 + $F$89*$A124*(F$123/$H$71)/(1+$B$56)^4.5) + (($F$89*$A124*(F$123/$H$71)*(1+$G$55)/($B$56-$G$55))/(1+$B$56)^4.5) + $B$102)/$B$104)</f>
        <v/>
      </c>
    </row>
    <row r="125">
      <c r="A125" s="51" t="n">
        <v>0.9</v>
      </c>
      <c r="B125" s="39">
        <f>((($B$89*$A125*(B$123/$H$71)/(1+$B$56)^0.5 + $C$89*$A125*(B$123/$H$71)/(1+$B$56)^1.5 + $D$89*$A125*(B$123/$H$71)/(1+$B$56)^2.5 + $E$89*$A125*(B$123/$H$71)/(1+$B$56)^3.5 + $F$89*$A125*(B$123/$H$71)/(1+$B$56)^4.5) + (($F$89*$A125*(B$123/$H$71)*(1+$G$55)/($B$56-$G$55))/(1+$B$56)^4.5) + $B$102)/$B$104)</f>
        <v/>
      </c>
      <c r="C125" s="39">
        <f>((($B$89*$A125*(C$123/$H$71)/(1+$B$56)^0.5 + $C$89*$A125*(C$123/$H$71)/(1+$B$56)^1.5 + $D$89*$A125*(C$123/$H$71)/(1+$B$56)^2.5 + $E$89*$A125*(C$123/$H$71)/(1+$B$56)^3.5 + $F$89*$A125*(C$123/$H$71)/(1+$B$56)^4.5) + (($F$89*$A125*(C$123/$H$71)*(1+$G$55)/($B$56-$G$55))/(1+$B$56)^4.5) + $B$102)/$B$104)</f>
        <v/>
      </c>
      <c r="D125" s="39">
        <f>((($B$89*$A125*(D$123/$H$71)/(1+$B$56)^0.5 + $C$89*$A125*(D$123/$H$71)/(1+$B$56)^1.5 + $D$89*$A125*(D$123/$H$71)/(1+$B$56)^2.5 + $E$89*$A125*(D$123/$H$71)/(1+$B$56)^3.5 + $F$89*$A125*(D$123/$H$71)/(1+$B$56)^4.5) + (($F$89*$A125*(D$123/$H$71)*(1+$G$55)/($B$56-$G$55))/(1+$B$56)^4.5) + $B$102)/$B$104)</f>
        <v/>
      </c>
      <c r="E125" s="39">
        <f>((($B$89*$A125*(E$123/$H$71)/(1+$B$56)^0.5 + $C$89*$A125*(E$123/$H$71)/(1+$B$56)^1.5 + $D$89*$A125*(E$123/$H$71)/(1+$B$56)^2.5 + $E$89*$A125*(E$123/$H$71)/(1+$B$56)^3.5 + $F$89*$A125*(E$123/$H$71)/(1+$B$56)^4.5) + (($F$89*$A125*(E$123/$H$71)*(1+$G$55)/($B$56-$G$55))/(1+$B$56)^4.5) + $B$102)/$B$104)</f>
        <v/>
      </c>
      <c r="F125" s="39">
        <f>((($B$89*$A125*(F$123/$H$71)/(1+$B$56)^0.5 + $C$89*$A125*(F$123/$H$71)/(1+$B$56)^1.5 + $D$89*$A125*(F$123/$H$71)/(1+$B$56)^2.5 + $E$89*$A125*(F$123/$H$71)/(1+$B$56)^3.5 + $F$89*$A125*(F$123/$H$71)/(1+$B$56)^4.5) + (($F$89*$A125*(F$123/$H$71)*(1+$G$55)/($B$56-$G$55))/(1+$B$56)^4.5) + $B$102)/$B$104)</f>
        <v/>
      </c>
    </row>
    <row r="126">
      <c r="A126" s="52" t="n">
        <v>1</v>
      </c>
      <c r="B126" s="39">
        <f>((($B$89*$A126*(B$123/$H$71)/(1+$B$56)^0.5 + $C$89*$A126*(B$123/$H$71)/(1+$B$56)^1.5 + $D$89*$A126*(B$123/$H$71)/(1+$B$56)^2.5 + $E$89*$A126*(B$123/$H$71)/(1+$B$56)^3.5 + $F$89*$A126*(B$123/$H$71)/(1+$B$56)^4.5) + (($F$89*$A126*(B$123/$H$71)*(1+$G$55)/($B$56-$G$55))/(1+$B$56)^4.5) + $B$102)/$B$104)</f>
        <v/>
      </c>
      <c r="C126" s="39">
        <f>((($B$89*$A126*(C$123/$H$71)/(1+$B$56)^0.5 + $C$89*$A126*(C$123/$H$71)/(1+$B$56)^1.5 + $D$89*$A126*(C$123/$H$71)/(1+$B$56)^2.5 + $E$89*$A126*(C$123/$H$71)/(1+$B$56)^3.5 + $F$89*$A126*(C$123/$H$71)/(1+$B$56)^4.5) + (($F$89*$A126*(C$123/$H$71)*(1+$G$55)/($B$56-$G$55))/(1+$B$56)^4.5) + $B$102)/$B$104)</f>
        <v/>
      </c>
      <c r="D126" s="50">
        <f>((($B$89*$A126*(D$123/$H$71)/(1+$B$56)^0.5 + $C$89*$A126*(D$123/$H$71)/(1+$B$56)^1.5 + $D$89*$A126*(D$123/$H$71)/(1+$B$56)^2.5 + $E$89*$A126*(D$123/$H$71)/(1+$B$56)^3.5 + $F$89*$A126*(D$123/$H$71)/(1+$B$56)^4.5) + (($F$89*$A126*(D$123/$H$71)*(1+$G$55)/($B$56-$G$55))/(1+$B$56)^4.5) + $B$102)/$B$104)</f>
        <v/>
      </c>
      <c r="E126" s="39">
        <f>((($B$89*$A126*(E$123/$H$71)/(1+$B$56)^0.5 + $C$89*$A126*(E$123/$H$71)/(1+$B$56)^1.5 + $D$89*$A126*(E$123/$H$71)/(1+$B$56)^2.5 + $E$89*$A126*(E$123/$H$71)/(1+$B$56)^3.5 + $F$89*$A126*(E$123/$H$71)/(1+$B$56)^4.5) + (($F$89*$A126*(E$123/$H$71)*(1+$G$55)/($B$56-$G$55))/(1+$B$56)^4.5) + $B$102)/$B$104)</f>
        <v/>
      </c>
      <c r="F126" s="39">
        <f>((($B$89*$A126*(F$123/$H$71)/(1+$B$56)^0.5 + $C$89*$A126*(F$123/$H$71)/(1+$B$56)^1.5 + $D$89*$A126*(F$123/$H$71)/(1+$B$56)^2.5 + $E$89*$A126*(F$123/$H$71)/(1+$B$56)^3.5 + $F$89*$A126*(F$123/$H$71)/(1+$B$56)^4.5) + (($F$89*$A126*(F$123/$H$71)*(1+$G$55)/($B$56-$G$55))/(1+$B$56)^4.5) + $B$102)/$B$104)</f>
        <v/>
      </c>
    </row>
    <row r="127">
      <c r="A127" s="51" t="n">
        <v>1.1</v>
      </c>
      <c r="B127" s="39">
        <f>((($B$89*$A127*(B$123/$H$71)/(1+$B$56)^0.5 + $C$89*$A127*(B$123/$H$71)/(1+$B$56)^1.5 + $D$89*$A127*(B$123/$H$71)/(1+$B$56)^2.5 + $E$89*$A127*(B$123/$H$71)/(1+$B$56)^3.5 + $F$89*$A127*(B$123/$H$71)/(1+$B$56)^4.5) + (($F$89*$A127*(B$123/$H$71)*(1+$G$55)/($B$56-$G$55))/(1+$B$56)^4.5) + $B$102)/$B$104)</f>
        <v/>
      </c>
      <c r="C127" s="39">
        <f>((($B$89*$A127*(C$123/$H$71)/(1+$B$56)^0.5 + $C$89*$A127*(C$123/$H$71)/(1+$B$56)^1.5 + $D$89*$A127*(C$123/$H$71)/(1+$B$56)^2.5 + $E$89*$A127*(C$123/$H$71)/(1+$B$56)^3.5 + $F$89*$A127*(C$123/$H$71)/(1+$B$56)^4.5) + (($F$89*$A127*(C$123/$H$71)*(1+$G$55)/($B$56-$G$55))/(1+$B$56)^4.5) + $B$102)/$B$104)</f>
        <v/>
      </c>
      <c r="D127" s="39">
        <f>((($B$89*$A127*(D$123/$H$71)/(1+$B$56)^0.5 + $C$89*$A127*(D$123/$H$71)/(1+$B$56)^1.5 + $D$89*$A127*(D$123/$H$71)/(1+$B$56)^2.5 + $E$89*$A127*(D$123/$H$71)/(1+$B$56)^3.5 + $F$89*$A127*(D$123/$H$71)/(1+$B$56)^4.5) + (($F$89*$A127*(D$123/$H$71)*(1+$G$55)/($B$56-$G$55))/(1+$B$56)^4.5) + $B$102)/$B$104)</f>
        <v/>
      </c>
      <c r="E127" s="39">
        <f>((($B$89*$A127*(E$123/$H$71)/(1+$B$56)^0.5 + $C$89*$A127*(E$123/$H$71)/(1+$B$56)^1.5 + $D$89*$A127*(E$123/$H$71)/(1+$B$56)^2.5 + $E$89*$A127*(E$123/$H$71)/(1+$B$56)^3.5 + $F$89*$A127*(E$123/$H$71)/(1+$B$56)^4.5) + (($F$89*$A127*(E$123/$H$71)*(1+$G$55)/($B$56-$G$55))/(1+$B$56)^4.5) + $B$102)/$B$104)</f>
        <v/>
      </c>
      <c r="F127" s="39">
        <f>((($B$89*$A127*(F$123/$H$71)/(1+$B$56)^0.5 + $C$89*$A127*(F$123/$H$71)/(1+$B$56)^1.5 + $D$89*$A127*(F$123/$H$71)/(1+$B$56)^2.5 + $E$89*$A127*(F$123/$H$71)/(1+$B$56)^3.5 + $F$89*$A127*(F$123/$H$71)/(1+$B$56)^4.5) + (($F$89*$A127*(F$123/$H$71)*(1+$G$55)/($B$56-$G$55))/(1+$B$56)^4.5) + $B$102)/$B$104)</f>
        <v/>
      </c>
    </row>
    <row r="128">
      <c r="A128" s="51" t="n">
        <v>1.2</v>
      </c>
      <c r="B128" s="39">
        <f>((($B$89*$A128*(B$123/$H$71)/(1+$B$56)^0.5 + $C$89*$A128*(B$123/$H$71)/(1+$B$56)^1.5 + $D$89*$A128*(B$123/$H$71)/(1+$B$56)^2.5 + $E$89*$A128*(B$123/$H$71)/(1+$B$56)^3.5 + $F$89*$A128*(B$123/$H$71)/(1+$B$56)^4.5) + (($F$89*$A128*(B$123/$H$71)*(1+$G$55)/($B$56-$G$55))/(1+$B$56)^4.5) + $B$102)/$B$104)</f>
        <v/>
      </c>
      <c r="C128" s="39">
        <f>((($B$89*$A128*(C$123/$H$71)/(1+$B$56)^0.5 + $C$89*$A128*(C$123/$H$71)/(1+$B$56)^1.5 + $D$89*$A128*(C$123/$H$71)/(1+$B$56)^2.5 + $E$89*$A128*(C$123/$H$71)/(1+$B$56)^3.5 + $F$89*$A128*(C$123/$H$71)/(1+$B$56)^4.5) + (($F$89*$A128*(C$123/$H$71)*(1+$G$55)/($B$56-$G$55))/(1+$B$56)^4.5) + $B$102)/$B$104)</f>
        <v/>
      </c>
      <c r="D128" s="39">
        <f>((($B$89*$A128*(D$123/$H$71)/(1+$B$56)^0.5 + $C$89*$A128*(D$123/$H$71)/(1+$B$56)^1.5 + $D$89*$A128*(D$123/$H$71)/(1+$B$56)^2.5 + $E$89*$A128*(D$123/$H$71)/(1+$B$56)^3.5 + $F$89*$A128*(D$123/$H$71)/(1+$B$56)^4.5) + (($F$89*$A128*(D$123/$H$71)*(1+$G$55)/($B$56-$G$55))/(1+$B$56)^4.5) + $B$102)/$B$104)</f>
        <v/>
      </c>
      <c r="E128" s="39">
        <f>((($B$89*$A128*(E$123/$H$71)/(1+$B$56)^0.5 + $C$89*$A128*(E$123/$H$71)/(1+$B$56)^1.5 + $D$89*$A128*(E$123/$H$71)/(1+$B$56)^2.5 + $E$89*$A128*(E$123/$H$71)/(1+$B$56)^3.5 + $F$89*$A128*(E$123/$H$71)/(1+$B$56)^4.5) + (($F$89*$A128*(E$123/$H$71)*(1+$G$55)/($B$56-$G$55))/(1+$B$56)^4.5) + $B$102)/$B$104)</f>
        <v/>
      </c>
      <c r="F128" s="39">
        <f>((($B$89*$A128*(F$123/$H$71)/(1+$B$56)^0.5 + $C$89*$A128*(F$123/$H$71)/(1+$B$56)^1.5 + $D$89*$A128*(F$123/$H$71)/(1+$B$56)^2.5 + $E$89*$A128*(F$123/$H$71)/(1+$B$56)^3.5 + $F$89*$A128*(F$123/$H$71)/(1+$B$56)^4.5) + (($F$89*$A128*(F$123/$H$71)*(1+$G$55)/($B$56-$G$55))/(1+$B$56)^4.5) + $B$102)/$B$104)</f>
        <v/>
      </c>
    </row>
    <row r="132">
      <c r="A132" s="16" t="inlineStr">
        <is>
          <t>TABLE 3: IMPLIED SHARE PRICE ($) - EQUITY BETA vs. RISK-FREE RATE (Rf)</t>
        </is>
      </c>
      <c r="B132" s="17" t="n"/>
      <c r="C132" s="17" t="n"/>
      <c r="D132" s="17" t="n"/>
      <c r="E132" s="17" t="n"/>
      <c r="F132" s="17" t="n"/>
    </row>
    <row r="133">
      <c r="A133" s="19" t="inlineStr">
        <is>
          <t>Beta \ Risk-Free Rate</t>
        </is>
      </c>
      <c r="B133" s="53" t="n">
        <v>0.0369</v>
      </c>
      <c r="C133" s="53" t="n">
        <v>0.0419</v>
      </c>
      <c r="D133" s="54" t="n">
        <v>0.0469</v>
      </c>
      <c r="E133" s="53" t="n">
        <v>0.0519</v>
      </c>
      <c r="F133" s="53" t="n">
        <v>0.0569</v>
      </c>
    </row>
    <row r="134">
      <c r="A134" s="55" t="n">
        <v>1.04</v>
      </c>
      <c r="B134" s="39">
        <f>((($B$89/(1+((B$133+$A134*$B$15)*('WACC Build'!$C$24) + ('WACC Build'!$B$13)*('WACC Build'!$C$25)))^0.5 + $C$89/(1+((B$133+$A134*$B$15)*('WACC Build'!$C$24) + ('WACC Build'!$B$13)*('WACC Build'!$C$25)))^1.5 + $D$89/(1+((B$133+$A134*$B$15)*('WACC Build'!$C$24) + ('WACC Build'!$B$13)*('WACC Build'!$C$25)))^2.5 + $E$89/(1+((B$133+$A134*$B$15)*('WACC Build'!$C$24) + ('WACC Build'!$B$13)*('WACC Build'!$C$25)))^3.5 + $F$89/(1+((B$133+$A134*$B$15)*('WACC Build'!$C$24) + ('WACC Build'!$B$13)*('WACC Build'!$C$25)))^4.5) + (($F$89*(1+$G$55)/(((B$133+$A134*$B$15)*('WACC Build'!$C$24) + ('WACC Build'!$B$13)*('WACC Build'!$C$25))-$G$55))/(1+((B$133+$A134*$B$15)*('WACC Build'!$C$24) + ('WACC Build'!$B$13)*('WACC Build'!$C$25)))^4.5) + $B$102)/$B$104)</f>
        <v/>
      </c>
      <c r="C134" s="39">
        <f>((($B$89/(1+((C$133+$A134*$B$15)*('WACC Build'!$C$24) + ('WACC Build'!$B$13)*('WACC Build'!$C$25)))^0.5 + $C$89/(1+((C$133+$A134*$B$15)*('WACC Build'!$C$24) + ('WACC Build'!$B$13)*('WACC Build'!$C$25)))^1.5 + $D$89/(1+((C$133+$A134*$B$15)*('WACC Build'!$C$24) + ('WACC Build'!$B$13)*('WACC Build'!$C$25)))^2.5 + $E$89/(1+((C$133+$A134*$B$15)*('WACC Build'!$C$24) + ('WACC Build'!$B$13)*('WACC Build'!$C$25)))^3.5 + $F$89/(1+((C$133+$A134*$B$15)*('WACC Build'!$C$24) + ('WACC Build'!$B$13)*('WACC Build'!$C$25)))^4.5) + (($F$89*(1+$G$55)/(((C$133+$A134*$B$15)*('WACC Build'!$C$24) + ('WACC Build'!$B$13)*('WACC Build'!$C$25))-$G$55))/(1+((C$133+$A134*$B$15)*('WACC Build'!$C$24) + ('WACC Build'!$B$13)*('WACC Build'!$C$25)))^4.5) + $B$102)/$B$104)</f>
        <v/>
      </c>
      <c r="D134" s="39">
        <f>((($B$89/(1+((D$133+$A134*$B$15)*('WACC Build'!$C$24) + ('WACC Build'!$B$13)*('WACC Build'!$C$25)))^0.5 + $C$89/(1+((D$133+$A134*$B$15)*('WACC Build'!$C$24) + ('WACC Build'!$B$13)*('WACC Build'!$C$25)))^1.5 + $D$89/(1+((D$133+$A134*$B$15)*('WACC Build'!$C$24) + ('WACC Build'!$B$13)*('WACC Build'!$C$25)))^2.5 + $E$89/(1+((D$133+$A134*$B$15)*('WACC Build'!$C$24) + ('WACC Build'!$B$13)*('WACC Build'!$C$25)))^3.5 + $F$89/(1+((D$133+$A134*$B$15)*('WACC Build'!$C$24) + ('WACC Build'!$B$13)*('WACC Build'!$C$25)))^4.5) + (($F$89*(1+$G$55)/(((D$133+$A134*$B$15)*('WACC Build'!$C$24) + ('WACC Build'!$B$13)*('WACC Build'!$C$25))-$G$55))/(1+((D$133+$A134*$B$15)*('WACC Build'!$C$24) + ('WACC Build'!$B$13)*('WACC Build'!$C$25)))^4.5) + $B$102)/$B$104)</f>
        <v/>
      </c>
      <c r="E134" s="39">
        <f>((($B$89/(1+((E$133+$A134*$B$15)*('WACC Build'!$C$24) + ('WACC Build'!$B$13)*('WACC Build'!$C$25)))^0.5 + $C$89/(1+((E$133+$A134*$B$15)*('WACC Build'!$C$24) + ('WACC Build'!$B$13)*('WACC Build'!$C$25)))^1.5 + $D$89/(1+((E$133+$A134*$B$15)*('WACC Build'!$C$24) + ('WACC Build'!$B$13)*('WACC Build'!$C$25)))^2.5 + $E$89/(1+((E$133+$A134*$B$15)*('WACC Build'!$C$24) + ('WACC Build'!$B$13)*('WACC Build'!$C$25)))^3.5 + $F$89/(1+((E$133+$A134*$B$15)*('WACC Build'!$C$24) + ('WACC Build'!$B$13)*('WACC Build'!$C$25)))^4.5) + (($F$89*(1+$G$55)/(((E$133+$A134*$B$15)*('WACC Build'!$C$24) + ('WACC Build'!$B$13)*('WACC Build'!$C$25))-$G$55))/(1+((E$133+$A134*$B$15)*('WACC Build'!$C$24) + ('WACC Build'!$B$13)*('WACC Build'!$C$25)))^4.5) + $B$102)/$B$104)</f>
        <v/>
      </c>
      <c r="F134" s="39">
        <f>((($B$89/(1+((F$133+$A134*$B$15)*('WACC Build'!$C$24) + ('WACC Build'!$B$13)*('WACC Build'!$C$25)))^0.5 + $C$89/(1+((F$133+$A134*$B$15)*('WACC Build'!$C$24) + ('WACC Build'!$B$13)*('WACC Build'!$C$25)))^1.5 + $D$89/(1+((F$133+$A134*$B$15)*('WACC Build'!$C$24) + ('WACC Build'!$B$13)*('WACC Build'!$C$25)))^2.5 + $E$89/(1+((F$133+$A134*$B$15)*('WACC Build'!$C$24) + ('WACC Build'!$B$13)*('WACC Build'!$C$25)))^3.5 + $F$89/(1+((F$133+$A134*$B$15)*('WACC Build'!$C$24) + ('WACC Build'!$B$13)*('WACC Build'!$C$25)))^4.5) + (($F$89*(1+$G$55)/(((F$133+$A134*$B$15)*('WACC Build'!$C$24) + ('WACC Build'!$B$13)*('WACC Build'!$C$25))-$G$55))/(1+((F$133+$A134*$B$15)*('WACC Build'!$C$24) + ('WACC Build'!$B$13)*('WACC Build'!$C$25)))^4.5) + $B$102)/$B$104)</f>
        <v/>
      </c>
    </row>
    <row r="135">
      <c r="A135" s="55" t="n">
        <v>1.14</v>
      </c>
      <c r="B135" s="39">
        <f>((($B$89/(1+((B$133+$A135*$B$15)*('WACC Build'!$C$24) + ('WACC Build'!$B$13)*('WACC Build'!$C$25)))^0.5 + $C$89/(1+((B$133+$A135*$B$15)*('WACC Build'!$C$24) + ('WACC Build'!$B$13)*('WACC Build'!$C$25)))^1.5 + $D$89/(1+((B$133+$A135*$B$15)*('WACC Build'!$C$24) + ('WACC Build'!$B$13)*('WACC Build'!$C$25)))^2.5 + $E$89/(1+((B$133+$A135*$B$15)*('WACC Build'!$C$24) + ('WACC Build'!$B$13)*('WACC Build'!$C$25)))^3.5 + $F$89/(1+((B$133+$A135*$B$15)*('WACC Build'!$C$24) + ('WACC Build'!$B$13)*('WACC Build'!$C$25)))^4.5) + (($F$89*(1+$G$55)/(((B$133+$A135*$B$15)*('WACC Build'!$C$24) + ('WACC Build'!$B$13)*('WACC Build'!$C$25))-$G$55))/(1+((B$133+$A135*$B$15)*('WACC Build'!$C$24) + ('WACC Build'!$B$13)*('WACC Build'!$C$25)))^4.5) + $B$102)/$B$104)</f>
        <v/>
      </c>
      <c r="C135" s="39">
        <f>((($B$89/(1+((C$133+$A135*$B$15)*('WACC Build'!$C$24) + ('WACC Build'!$B$13)*('WACC Build'!$C$25)))^0.5 + $C$89/(1+((C$133+$A135*$B$15)*('WACC Build'!$C$24) + ('WACC Build'!$B$13)*('WACC Build'!$C$25)))^1.5 + $D$89/(1+((C$133+$A135*$B$15)*('WACC Build'!$C$24) + ('WACC Build'!$B$13)*('WACC Build'!$C$25)))^2.5 + $E$89/(1+((C$133+$A135*$B$15)*('WACC Build'!$C$24) + ('WACC Build'!$B$13)*('WACC Build'!$C$25)))^3.5 + $F$89/(1+((C$133+$A135*$B$15)*('WACC Build'!$C$24) + ('WACC Build'!$B$13)*('WACC Build'!$C$25)))^4.5) + (($F$89*(1+$G$55)/(((C$133+$A135*$B$15)*('WACC Build'!$C$24) + ('WACC Build'!$B$13)*('WACC Build'!$C$25))-$G$55))/(1+((C$133+$A135*$B$15)*('WACC Build'!$C$24) + ('WACC Build'!$B$13)*('WACC Build'!$C$25)))^4.5) + $B$102)/$B$104)</f>
        <v/>
      </c>
      <c r="D135" s="39">
        <f>((($B$89/(1+((D$133+$A135*$B$15)*('WACC Build'!$C$24) + ('WACC Build'!$B$13)*('WACC Build'!$C$25)))^0.5 + $C$89/(1+((D$133+$A135*$B$15)*('WACC Build'!$C$24) + ('WACC Build'!$B$13)*('WACC Build'!$C$25)))^1.5 + $D$89/(1+((D$133+$A135*$B$15)*('WACC Build'!$C$24) + ('WACC Build'!$B$13)*('WACC Build'!$C$25)))^2.5 + $E$89/(1+((D$133+$A135*$B$15)*('WACC Build'!$C$24) + ('WACC Build'!$B$13)*('WACC Build'!$C$25)))^3.5 + $F$89/(1+((D$133+$A135*$B$15)*('WACC Build'!$C$24) + ('WACC Build'!$B$13)*('WACC Build'!$C$25)))^4.5) + (($F$89*(1+$G$55)/(((D$133+$A135*$B$15)*('WACC Build'!$C$24) + ('WACC Build'!$B$13)*('WACC Build'!$C$25))-$G$55))/(1+((D$133+$A135*$B$15)*('WACC Build'!$C$24) + ('WACC Build'!$B$13)*('WACC Build'!$C$25)))^4.5) + $B$102)/$B$104)</f>
        <v/>
      </c>
      <c r="E135" s="39">
        <f>((($B$89/(1+((E$133+$A135*$B$15)*('WACC Build'!$C$24) + ('WACC Build'!$B$13)*('WACC Build'!$C$25)))^0.5 + $C$89/(1+((E$133+$A135*$B$15)*('WACC Build'!$C$24) + ('WACC Build'!$B$13)*('WACC Build'!$C$25)))^1.5 + $D$89/(1+((E$133+$A135*$B$15)*('WACC Build'!$C$24) + ('WACC Build'!$B$13)*('WACC Build'!$C$25)))^2.5 + $E$89/(1+((E$133+$A135*$B$15)*('WACC Build'!$C$24) + ('WACC Build'!$B$13)*('WACC Build'!$C$25)))^3.5 + $F$89/(1+((E$133+$A135*$B$15)*('WACC Build'!$C$24) + ('WACC Build'!$B$13)*('WACC Build'!$C$25)))^4.5) + (($F$89*(1+$G$55)/(((E$133+$A135*$B$15)*('WACC Build'!$C$24) + ('WACC Build'!$B$13)*('WACC Build'!$C$25))-$G$55))/(1+((E$133+$A135*$B$15)*('WACC Build'!$C$24) + ('WACC Build'!$B$13)*('WACC Build'!$C$25)))^4.5) + $B$102)/$B$104)</f>
        <v/>
      </c>
      <c r="F135" s="39">
        <f>((($B$89/(1+((F$133+$A135*$B$15)*('WACC Build'!$C$24) + ('WACC Build'!$B$13)*('WACC Build'!$C$25)))^0.5 + $C$89/(1+((F$133+$A135*$B$15)*('WACC Build'!$C$24) + ('WACC Build'!$B$13)*('WACC Build'!$C$25)))^1.5 + $D$89/(1+((F$133+$A135*$B$15)*('WACC Build'!$C$24) + ('WACC Build'!$B$13)*('WACC Build'!$C$25)))^2.5 + $E$89/(1+((F$133+$A135*$B$15)*('WACC Build'!$C$24) + ('WACC Build'!$B$13)*('WACC Build'!$C$25)))^3.5 + $F$89/(1+((F$133+$A135*$B$15)*('WACC Build'!$C$24) + ('WACC Build'!$B$13)*('WACC Build'!$C$25)))^4.5) + (($F$89*(1+$G$55)/(((F$133+$A135*$B$15)*('WACC Build'!$C$24) + ('WACC Build'!$B$13)*('WACC Build'!$C$25))-$G$55))/(1+((F$133+$A135*$B$15)*('WACC Build'!$C$24) + ('WACC Build'!$B$13)*('WACC Build'!$C$25)))^4.5) + $B$102)/$B$104)</f>
        <v/>
      </c>
    </row>
    <row r="136">
      <c r="A136" s="56" t="n">
        <v>1.24</v>
      </c>
      <c r="B136" s="39">
        <f>((($B$89/(1+((B$133+$A136*$B$15)*('WACC Build'!$C$24) + ('WACC Build'!$B$13)*('WACC Build'!$C$25)))^0.5 + $C$89/(1+((B$133+$A136*$B$15)*('WACC Build'!$C$24) + ('WACC Build'!$B$13)*('WACC Build'!$C$25)))^1.5 + $D$89/(1+((B$133+$A136*$B$15)*('WACC Build'!$C$24) + ('WACC Build'!$B$13)*('WACC Build'!$C$25)))^2.5 + $E$89/(1+((B$133+$A136*$B$15)*('WACC Build'!$C$24) + ('WACC Build'!$B$13)*('WACC Build'!$C$25)))^3.5 + $F$89/(1+((B$133+$A136*$B$15)*('WACC Build'!$C$24) + ('WACC Build'!$B$13)*('WACC Build'!$C$25)))^4.5) + (($F$89*(1+$G$55)/(((B$133+$A136*$B$15)*('WACC Build'!$C$24) + ('WACC Build'!$B$13)*('WACC Build'!$C$25))-$G$55))/(1+((B$133+$A136*$B$15)*('WACC Build'!$C$24) + ('WACC Build'!$B$13)*('WACC Build'!$C$25)))^4.5) + $B$102)/$B$104)</f>
        <v/>
      </c>
      <c r="C136" s="39">
        <f>((($B$89/(1+((C$133+$A136*$B$15)*('WACC Build'!$C$24) + ('WACC Build'!$B$13)*('WACC Build'!$C$25)))^0.5 + $C$89/(1+((C$133+$A136*$B$15)*('WACC Build'!$C$24) + ('WACC Build'!$B$13)*('WACC Build'!$C$25)))^1.5 + $D$89/(1+((C$133+$A136*$B$15)*('WACC Build'!$C$24) + ('WACC Build'!$B$13)*('WACC Build'!$C$25)))^2.5 + $E$89/(1+((C$133+$A136*$B$15)*('WACC Build'!$C$24) + ('WACC Build'!$B$13)*('WACC Build'!$C$25)))^3.5 + $F$89/(1+((C$133+$A136*$B$15)*('WACC Build'!$C$24) + ('WACC Build'!$B$13)*('WACC Build'!$C$25)))^4.5) + (($F$89*(1+$G$55)/(((C$133+$A136*$B$15)*('WACC Build'!$C$24) + ('WACC Build'!$B$13)*('WACC Build'!$C$25))-$G$55))/(1+((C$133+$A136*$B$15)*('WACC Build'!$C$24) + ('WACC Build'!$B$13)*('WACC Build'!$C$25)))^4.5) + $B$102)/$B$104)</f>
        <v/>
      </c>
      <c r="D136" s="50">
        <f>((($B$89/(1+((D$133+$A136*$B$15)*('WACC Build'!$C$24) + ('WACC Build'!$B$13)*('WACC Build'!$C$25)))^0.5 + $C$89/(1+((D$133+$A136*$B$15)*('WACC Build'!$C$24) + ('WACC Build'!$B$13)*('WACC Build'!$C$25)))^1.5 + $D$89/(1+((D$133+$A136*$B$15)*('WACC Build'!$C$24) + ('WACC Build'!$B$13)*('WACC Build'!$C$25)))^2.5 + $E$89/(1+((D$133+$A136*$B$15)*('WACC Build'!$C$24) + ('WACC Build'!$B$13)*('WACC Build'!$C$25)))^3.5 + $F$89/(1+((D$133+$A136*$B$15)*('WACC Build'!$C$24) + ('WACC Build'!$B$13)*('WACC Build'!$C$25)))^4.5) + (($F$89*(1+$G$55)/(((D$133+$A136*$B$15)*('WACC Build'!$C$24) + ('WACC Build'!$B$13)*('WACC Build'!$C$25))-$G$55))/(1+((D$133+$A136*$B$15)*('WACC Build'!$C$24) + ('WACC Build'!$B$13)*('WACC Build'!$C$25)))^4.5) + $B$102)/$B$104)</f>
        <v/>
      </c>
      <c r="E136" s="39">
        <f>((($B$89/(1+((E$133+$A136*$B$15)*('WACC Build'!$C$24) + ('WACC Build'!$B$13)*('WACC Build'!$C$25)))^0.5 + $C$89/(1+((E$133+$A136*$B$15)*('WACC Build'!$C$24) + ('WACC Build'!$B$13)*('WACC Build'!$C$25)))^1.5 + $D$89/(1+((E$133+$A136*$B$15)*('WACC Build'!$C$24) + ('WACC Build'!$B$13)*('WACC Build'!$C$25)))^2.5 + $E$89/(1+((E$133+$A136*$B$15)*('WACC Build'!$C$24) + ('WACC Build'!$B$13)*('WACC Build'!$C$25)))^3.5 + $F$89/(1+((E$133+$A136*$B$15)*('WACC Build'!$C$24) + ('WACC Build'!$B$13)*('WACC Build'!$C$25)))^4.5) + (($F$89*(1+$G$55)/(((E$133+$A136*$B$15)*('WACC Build'!$C$24) + ('WACC Build'!$B$13)*('WACC Build'!$C$25))-$G$55))/(1+((E$133+$A136*$B$15)*('WACC Build'!$C$24) + ('WACC Build'!$B$13)*('WACC Build'!$C$25)))^4.5) + $B$102)/$B$104)</f>
        <v/>
      </c>
      <c r="F136" s="39">
        <f>((($B$89/(1+((F$133+$A136*$B$15)*('WACC Build'!$C$24) + ('WACC Build'!$B$13)*('WACC Build'!$C$25)))^0.5 + $C$89/(1+((F$133+$A136*$B$15)*('WACC Build'!$C$24) + ('WACC Build'!$B$13)*('WACC Build'!$C$25)))^1.5 + $D$89/(1+((F$133+$A136*$B$15)*('WACC Build'!$C$24) + ('WACC Build'!$B$13)*('WACC Build'!$C$25)))^2.5 + $E$89/(1+((F$133+$A136*$B$15)*('WACC Build'!$C$24) + ('WACC Build'!$B$13)*('WACC Build'!$C$25)))^3.5 + $F$89/(1+((F$133+$A136*$B$15)*('WACC Build'!$C$24) + ('WACC Build'!$B$13)*('WACC Build'!$C$25)))^4.5) + (($F$89*(1+$G$55)/(((F$133+$A136*$B$15)*('WACC Build'!$C$24) + ('WACC Build'!$B$13)*('WACC Build'!$C$25))-$G$55))/(1+((F$133+$A136*$B$15)*('WACC Build'!$C$24) + ('WACC Build'!$B$13)*('WACC Build'!$C$25)))^4.5) + $B$102)/$B$104)</f>
        <v/>
      </c>
    </row>
    <row r="137">
      <c r="A137" s="55" t="n">
        <v>1.34</v>
      </c>
      <c r="B137" s="39">
        <f>((($B$89/(1+((B$133+$A137*$B$15)*('WACC Build'!$C$24) + ('WACC Build'!$B$13)*('WACC Build'!$C$25)))^0.5 + $C$89/(1+((B$133+$A137*$B$15)*('WACC Build'!$C$24) + ('WACC Build'!$B$13)*('WACC Build'!$C$25)))^1.5 + $D$89/(1+((B$133+$A137*$B$15)*('WACC Build'!$C$24) + ('WACC Build'!$B$13)*('WACC Build'!$C$25)))^2.5 + $E$89/(1+((B$133+$A137*$B$15)*('WACC Build'!$C$24) + ('WACC Build'!$B$13)*('WACC Build'!$C$25)))^3.5 + $F$89/(1+((B$133+$A137*$B$15)*('WACC Build'!$C$24) + ('WACC Build'!$B$13)*('WACC Build'!$C$25)))^4.5) + (($F$89*(1+$G$55)/(((B$133+$A137*$B$15)*('WACC Build'!$C$24) + ('WACC Build'!$B$13)*('WACC Build'!$C$25))-$G$55))/(1+((B$133+$A137*$B$15)*('WACC Build'!$C$24) + ('WACC Build'!$B$13)*('WACC Build'!$C$25)))^4.5) + $B$102)/$B$104)</f>
        <v/>
      </c>
      <c r="C137" s="39">
        <f>((($B$89/(1+((C$133+$A137*$B$15)*('WACC Build'!$C$24) + ('WACC Build'!$B$13)*('WACC Build'!$C$25)))^0.5 + $C$89/(1+((C$133+$A137*$B$15)*('WACC Build'!$C$24) + ('WACC Build'!$B$13)*('WACC Build'!$C$25)))^1.5 + $D$89/(1+((C$133+$A137*$B$15)*('WACC Build'!$C$24) + ('WACC Build'!$B$13)*('WACC Build'!$C$25)))^2.5 + $E$89/(1+((C$133+$A137*$B$15)*('WACC Build'!$C$24) + ('WACC Build'!$B$13)*('WACC Build'!$C$25)))^3.5 + $F$89/(1+((C$133+$A137*$B$15)*('WACC Build'!$C$24) + ('WACC Build'!$B$13)*('WACC Build'!$C$25)))^4.5) + (($F$89*(1+$G$55)/(((C$133+$A137*$B$15)*('WACC Build'!$C$24) + ('WACC Build'!$B$13)*('WACC Build'!$C$25))-$G$55))/(1+((C$133+$A137*$B$15)*('WACC Build'!$C$24) + ('WACC Build'!$B$13)*('WACC Build'!$C$25)))^4.5) + $B$102)/$B$104)</f>
        <v/>
      </c>
      <c r="D137" s="39">
        <f>((($B$89/(1+((D$133+$A137*$B$15)*('WACC Build'!$C$24) + ('WACC Build'!$B$13)*('WACC Build'!$C$25)))^0.5 + $C$89/(1+((D$133+$A137*$B$15)*('WACC Build'!$C$24) + ('WACC Build'!$B$13)*('WACC Build'!$C$25)))^1.5 + $D$89/(1+((D$133+$A137*$B$15)*('WACC Build'!$C$24) + ('WACC Build'!$B$13)*('WACC Build'!$C$25)))^2.5 + $E$89/(1+((D$133+$A137*$B$15)*('WACC Build'!$C$24) + ('WACC Build'!$B$13)*('WACC Build'!$C$25)))^3.5 + $F$89/(1+((D$133+$A137*$B$15)*('WACC Build'!$C$24) + ('WACC Build'!$B$13)*('WACC Build'!$C$25)))^4.5) + (($F$89*(1+$G$55)/(((D$133+$A137*$B$15)*('WACC Build'!$C$24) + ('WACC Build'!$B$13)*('WACC Build'!$C$25))-$G$55))/(1+((D$133+$A137*$B$15)*('WACC Build'!$C$24) + ('WACC Build'!$B$13)*('WACC Build'!$C$25)))^4.5) + $B$102)/$B$104)</f>
        <v/>
      </c>
      <c r="E137" s="39">
        <f>((($B$89/(1+((E$133+$A137*$B$15)*('WACC Build'!$C$24) + ('WACC Build'!$B$13)*('WACC Build'!$C$25)))^0.5 + $C$89/(1+((E$133+$A137*$B$15)*('WACC Build'!$C$24) + ('WACC Build'!$B$13)*('WACC Build'!$C$25)))^1.5 + $D$89/(1+((E$133+$A137*$B$15)*('WACC Build'!$C$24) + ('WACC Build'!$B$13)*('WACC Build'!$C$25)))^2.5 + $E$89/(1+((E$133+$A137*$B$15)*('WACC Build'!$C$24) + ('WACC Build'!$B$13)*('WACC Build'!$C$25)))^3.5 + $F$89/(1+((E$133+$A137*$B$15)*('WACC Build'!$C$24) + ('WACC Build'!$B$13)*('WACC Build'!$C$25)))^4.5) + (($F$89*(1+$G$55)/(((E$133+$A137*$B$15)*('WACC Build'!$C$24) + ('WACC Build'!$B$13)*('WACC Build'!$C$25))-$G$55))/(1+((E$133+$A137*$B$15)*('WACC Build'!$C$24) + ('WACC Build'!$B$13)*('WACC Build'!$C$25)))^4.5) + $B$102)/$B$104)</f>
        <v/>
      </c>
      <c r="F137" s="39">
        <f>((($B$89/(1+((F$133+$A137*$B$15)*('WACC Build'!$C$24) + ('WACC Build'!$B$13)*('WACC Build'!$C$25)))^0.5 + $C$89/(1+((F$133+$A137*$B$15)*('WACC Build'!$C$24) + ('WACC Build'!$B$13)*('WACC Build'!$C$25)))^1.5 + $D$89/(1+((F$133+$A137*$B$15)*('WACC Build'!$C$24) + ('WACC Build'!$B$13)*('WACC Build'!$C$25)))^2.5 + $E$89/(1+((F$133+$A137*$B$15)*('WACC Build'!$C$24) + ('WACC Build'!$B$13)*('WACC Build'!$C$25)))^3.5 + $F$89/(1+((F$133+$A137*$B$15)*('WACC Build'!$C$24) + ('WACC Build'!$B$13)*('WACC Build'!$C$25)))^4.5) + (($F$89*(1+$G$55)/(((F$133+$A137*$B$15)*('WACC Build'!$C$24) + ('WACC Build'!$B$13)*('WACC Build'!$C$25))-$G$55))/(1+((F$133+$A137*$B$15)*('WACC Build'!$C$24) + ('WACC Build'!$B$13)*('WACC Build'!$C$25)))^4.5) + $B$102)/$B$104)</f>
        <v/>
      </c>
    </row>
    <row r="138">
      <c r="A138" s="55" t="n">
        <v>1.44</v>
      </c>
      <c r="B138" s="39">
        <f>((($B$89/(1+((B$133+$A138*$B$15)*('WACC Build'!$C$24) + ('WACC Build'!$B$13)*('WACC Build'!$C$25)))^0.5 + $C$89/(1+((B$133+$A138*$B$15)*('WACC Build'!$C$24) + ('WACC Build'!$B$13)*('WACC Build'!$C$25)))^1.5 + $D$89/(1+((B$133+$A138*$B$15)*('WACC Build'!$C$24) + ('WACC Build'!$B$13)*('WACC Build'!$C$25)))^2.5 + $E$89/(1+((B$133+$A138*$B$15)*('WACC Build'!$C$24) + ('WACC Build'!$B$13)*('WACC Build'!$C$25)))^3.5 + $F$89/(1+((B$133+$A138*$B$15)*('WACC Build'!$C$24) + ('WACC Build'!$B$13)*('WACC Build'!$C$25)))^4.5) + (($F$89*(1+$G$55)/(((B$133+$A138*$B$15)*('WACC Build'!$C$24) + ('WACC Build'!$B$13)*('WACC Build'!$C$25))-$G$55))/(1+((B$133+$A138*$B$15)*('WACC Build'!$C$24) + ('WACC Build'!$B$13)*('WACC Build'!$C$25)))^4.5) + $B$102)/$B$104)</f>
        <v/>
      </c>
      <c r="C138" s="39">
        <f>((($B$89/(1+((C$133+$A138*$B$15)*('WACC Build'!$C$24) + ('WACC Build'!$B$13)*('WACC Build'!$C$25)))^0.5 + $C$89/(1+((C$133+$A138*$B$15)*('WACC Build'!$C$24) + ('WACC Build'!$B$13)*('WACC Build'!$C$25)))^1.5 + $D$89/(1+((C$133+$A138*$B$15)*('WACC Build'!$C$24) + ('WACC Build'!$B$13)*('WACC Build'!$C$25)))^2.5 + $E$89/(1+((C$133+$A138*$B$15)*('WACC Build'!$C$24) + ('WACC Build'!$B$13)*('WACC Build'!$C$25)))^3.5 + $F$89/(1+((C$133+$A138*$B$15)*('WACC Build'!$C$24) + ('WACC Build'!$B$13)*('WACC Build'!$C$25)))^4.5) + (($F$89*(1+$G$55)/(((C$133+$A138*$B$15)*('WACC Build'!$C$24) + ('WACC Build'!$B$13)*('WACC Build'!$C$25))-$G$55))/(1+((C$133+$A138*$B$15)*('WACC Build'!$C$24) + ('WACC Build'!$B$13)*('WACC Build'!$C$25)))^4.5) + $B$102)/$B$104)</f>
        <v/>
      </c>
      <c r="D138" s="39">
        <f>((($B$89/(1+((D$133+$A138*$B$15)*('WACC Build'!$C$24) + ('WACC Build'!$B$13)*('WACC Build'!$C$25)))^0.5 + $C$89/(1+((D$133+$A138*$B$15)*('WACC Build'!$C$24) + ('WACC Build'!$B$13)*('WACC Build'!$C$25)))^1.5 + $D$89/(1+((D$133+$A138*$B$15)*('WACC Build'!$C$24) + ('WACC Build'!$B$13)*('WACC Build'!$C$25)))^2.5 + $E$89/(1+((D$133+$A138*$B$15)*('WACC Build'!$C$24) + ('WACC Build'!$B$13)*('WACC Build'!$C$25)))^3.5 + $F$89/(1+((D$133+$A138*$B$15)*('WACC Build'!$C$24) + ('WACC Build'!$B$13)*('WACC Build'!$C$25)))^4.5) + (($F$89*(1+$G$55)/(((D$133+$A138*$B$15)*('WACC Build'!$C$24) + ('WACC Build'!$B$13)*('WACC Build'!$C$25))-$G$55))/(1+((D$133+$A138*$B$15)*('WACC Build'!$C$24) + ('WACC Build'!$B$13)*('WACC Build'!$C$25)))^4.5) + $B$102)/$B$104)</f>
        <v/>
      </c>
      <c r="E138" s="39">
        <f>((($B$89/(1+((E$133+$A138*$B$15)*('WACC Build'!$C$24) + ('WACC Build'!$B$13)*('WACC Build'!$C$25)))^0.5 + $C$89/(1+((E$133+$A138*$B$15)*('WACC Build'!$C$24) + ('WACC Build'!$B$13)*('WACC Build'!$C$25)))^1.5 + $D$89/(1+((E$133+$A138*$B$15)*('WACC Build'!$C$24) + ('WACC Build'!$B$13)*('WACC Build'!$C$25)))^2.5 + $E$89/(1+((E$133+$A138*$B$15)*('WACC Build'!$C$24) + ('WACC Build'!$B$13)*('WACC Build'!$C$25)))^3.5 + $F$89/(1+((E$133+$A138*$B$15)*('WACC Build'!$C$24) + ('WACC Build'!$B$13)*('WACC Build'!$C$25)))^4.5) + (($F$89*(1+$G$55)/(((E$133+$A138*$B$15)*('WACC Build'!$C$24) + ('WACC Build'!$B$13)*('WACC Build'!$C$25))-$G$55))/(1+((E$133+$A138*$B$15)*('WACC Build'!$C$24) + ('WACC Build'!$B$13)*('WACC Build'!$C$25)))^4.5) + $B$102)/$B$104)</f>
        <v/>
      </c>
      <c r="F138" s="39">
        <f>((($B$89/(1+((F$133+$A138*$B$15)*('WACC Build'!$C$24) + ('WACC Build'!$B$13)*('WACC Build'!$C$25)))^0.5 + $C$89/(1+((F$133+$A138*$B$15)*('WACC Build'!$C$24) + ('WACC Build'!$B$13)*('WACC Build'!$C$25)))^1.5 + $D$89/(1+((F$133+$A138*$B$15)*('WACC Build'!$C$24) + ('WACC Build'!$B$13)*('WACC Build'!$C$25)))^2.5 + $E$89/(1+((F$133+$A138*$B$15)*('WACC Build'!$C$24) + ('WACC Build'!$B$13)*('WACC Build'!$C$25)))^3.5 + $F$89/(1+((F$133+$A138*$B$15)*('WACC Build'!$C$24) + ('WACC Build'!$B$13)*('WACC Build'!$C$25)))^4.5) + (($F$89*(1+$G$55)/(((F$133+$A138*$B$15)*('WACC Build'!$C$24) + ('WACC Build'!$B$13)*('WACC Build'!$C$25))-$G$55))/(1+((F$133+$A138*$B$15)*('WACC Build'!$C$24) + ('WACC Build'!$B$13)*('WACC Build'!$C$25)))^4.5) + $B$102)/$B$104)</f>
        <v/>
      </c>
    </row>
  </sheetData>
  <mergeCells count="14">
    <mergeCell ref="A122:F122"/>
    <mergeCell ref="A112:F112"/>
    <mergeCell ref="A29:H29"/>
    <mergeCell ref="A87:H87"/>
    <mergeCell ref="A20:H20"/>
    <mergeCell ref="A38:H38"/>
    <mergeCell ref="A132:F132"/>
    <mergeCell ref="A76:H76"/>
    <mergeCell ref="A19:H19"/>
    <mergeCell ref="A58:H58"/>
    <mergeCell ref="A47:H47"/>
    <mergeCell ref="A110:H110"/>
    <mergeCell ref="A96:C96"/>
    <mergeCell ref="A6:H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Alphabet Inc. (NASDAQ: GOOGL / GOOG)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14" t="n">
        <v>0.0469</v>
      </c>
    </row>
    <row r="6">
      <c r="A6" s="8" t="inlineStr">
        <is>
          <t>Equity Beta (5-Year Monthly vs S&amp;P 500)</t>
        </is>
      </c>
      <c r="B6" s="15" t="n">
        <v>1.24</v>
      </c>
    </row>
    <row r="7">
      <c r="A7" s="8" t="inlineStr">
        <is>
          <t>Market Equity Risk Premium (ERP)</t>
        </is>
      </c>
      <c r="B7" s="14" t="n">
        <v>0.055</v>
      </c>
    </row>
    <row r="8">
      <c r="A8" s="11" t="inlineStr">
        <is>
          <t>Cost of Equity (Ke = Rf + Beta * ERP)</t>
        </is>
      </c>
      <c r="B8" s="57">
        <f>B5+B6*B7</f>
        <v/>
      </c>
    </row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Pre-Tax Cost of Debt (Kd)</t>
        </is>
      </c>
      <c r="B11" s="14" t="n">
        <v>0.0485</v>
      </c>
    </row>
    <row r="12">
      <c r="A12" s="8" t="inlineStr">
        <is>
          <t>Effective Corporate Tax Rate (t)</t>
        </is>
      </c>
      <c r="B12" s="13" t="n">
        <v>0.175</v>
      </c>
    </row>
    <row r="13">
      <c r="A13" s="11" t="inlineStr">
        <is>
          <t>After-Tax Cost of Debt (Kd * (1 - t))</t>
        </is>
      </c>
      <c r="B13" s="57">
        <f>B11*(1-B12)</f>
        <v/>
      </c>
    </row>
    <row r="14">
      <c r="A14" s="11" t="inlineStr">
        <is>
          <t>Current Share Price ($)</t>
        </is>
      </c>
      <c r="B14" s="58">
        <f>'DCF Valuation'!B7</f>
        <v/>
      </c>
    </row>
    <row r="15">
      <c r="A15" s="11" t="inlineStr">
        <is>
          <t>Diluted Shares Outstanding (M)</t>
        </is>
      </c>
      <c r="B15" s="59">
        <f>'DCF Valuation'!B8</f>
        <v/>
      </c>
    </row>
    <row r="16">
      <c r="A16" s="11" t="inlineStr">
        <is>
          <t>Market Capitalization ($M)</t>
        </is>
      </c>
      <c r="B16" s="12">
        <f>B14*B15</f>
        <v/>
      </c>
    </row>
    <row r="17">
      <c r="A17" s="8" t="inlineStr">
        <is>
          <t>Total Debt (Current + Noncurrent Debt) ($M)</t>
        </is>
      </c>
      <c r="B17" s="9" t="n">
        <v>98200</v>
      </c>
    </row>
    <row r="18">
      <c r="A18" s="8" t="inlineStr">
        <is>
          <t>Cash, Cash Equivalents &amp; Marketable Securities ($M)</t>
        </is>
      </c>
      <c r="B18" s="9" t="n">
        <v>242500</v>
      </c>
    </row>
    <row r="19">
      <c r="A19" s="11" t="inlineStr">
        <is>
          <t>Net Debt ($M) [Net Cash if negative]</t>
        </is>
      </c>
      <c r="B19" s="12">
        <f>B17-B18</f>
        <v/>
      </c>
    </row>
    <row r="20">
      <c r="A20" s="11" t="inlineStr">
        <is>
          <t>Enterprise Value ($M)</t>
        </is>
      </c>
      <c r="B20" s="12">
        <f>B16+B19</f>
        <v/>
      </c>
    </row>
    <row r="22">
      <c r="A22" s="6" t="inlineStr">
        <is>
          <t>III. WACC CALCULATION SUMMARY</t>
        </is>
      </c>
      <c r="B22" s="7" t="n"/>
      <c r="C22" s="7" t="n"/>
      <c r="D22" s="7" t="n"/>
      <c r="E22" s="7" t="n"/>
    </row>
    <row r="23">
      <c r="A23" s="18" t="inlineStr">
        <is>
          <t>Component</t>
        </is>
      </c>
      <c r="B23" s="24" t="inlineStr">
        <is>
          <t>Market Value ($M)</t>
        </is>
      </c>
      <c r="C23" s="24" t="inlineStr">
        <is>
          <t>Capital Weight (%)</t>
        </is>
      </c>
      <c r="D23" s="24" t="inlineStr">
        <is>
          <t>Cost of Capital (%)</t>
        </is>
      </c>
      <c r="E23" s="24" t="inlineStr">
        <is>
          <t>Weighted Contribution (%)</t>
        </is>
      </c>
    </row>
    <row r="24">
      <c r="A24" s="8" t="inlineStr">
        <is>
          <t>Common Equity (Market Cap)</t>
        </is>
      </c>
      <c r="B24" s="39">
        <f>B16</f>
        <v/>
      </c>
      <c r="C24" s="27">
        <f>B24/$B$20</f>
        <v/>
      </c>
      <c r="D24" s="60">
        <f>B8</f>
        <v/>
      </c>
      <c r="E24" s="60">
        <f>C24*D24</f>
        <v/>
      </c>
    </row>
    <row r="25">
      <c r="A25" s="8" t="inlineStr">
        <is>
          <t>Net Debt (Net Cash Adjustment)</t>
        </is>
      </c>
      <c r="B25" s="39">
        <f>B19</f>
        <v/>
      </c>
      <c r="C25" s="27">
        <f>B25/$B$20</f>
        <v/>
      </c>
      <c r="D25" s="60">
        <f>B13</f>
        <v/>
      </c>
      <c r="E25" s="60">
        <f>C25*D25</f>
        <v/>
      </c>
    </row>
    <row r="26">
      <c r="A26" s="30" t="inlineStr">
        <is>
          <t>Total Capitalization / Base WACC</t>
        </is>
      </c>
      <c r="B26" s="61">
        <f>B20</f>
        <v/>
      </c>
      <c r="C26" s="62">
        <f>SUM(C24:C25)</f>
        <v/>
      </c>
      <c r="D26" s="63" t="inlineStr">
        <is>
          <t>-</t>
        </is>
      </c>
      <c r="E26" s="64">
        <f>SUM(E24:E25)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2026-08-19T06:43:43Z</dcterms:created>
  <dcterms:modified xmlns:dcterms="http://purl.org/dc/terms/" xmlns:xsi="http://www.w3.org/2001/XMLSchema-instance" xsi:type="dcterms:W3CDTF">2026-08-19T06:43:43Z</dcterms:modified>
</cp:coreProperties>
</file>