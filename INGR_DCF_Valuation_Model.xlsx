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;($#,##0.00);&quot;-&quot;"/>
    <numFmt numFmtId="165" formatCode="$#,##0.0;($#,##0.0);&quot;-&quot;"/>
    <numFmt numFmtId="166" formatCode="0.0%"/>
    <numFmt numFmtId="167" formatCode="0.0000"/>
    <numFmt numFmtId="168" formatCode="+0.0%;-0.0%;&quot;Base (0.0%)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b val="1"/>
      <color rgb="00B25900"/>
      <sz val="11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color rgb="00000000"/>
      <sz val="10"/>
    </font>
    <font>
      <name val="Calibri"/>
      <b val="1"/>
      <color rgb="001F4E79"/>
      <sz val="10"/>
    </font>
    <font>
      <name val="Calibri"/>
      <b val="1"/>
      <color rgb="00002060"/>
      <sz val="11"/>
    </font>
    <font>
      <name val="Calibri"/>
      <b val="1"/>
      <color rgb="00276A3C"/>
      <sz val="12"/>
    </font>
    <font>
      <name val="Calibri"/>
      <b val="1"/>
      <color rgb="00276A3C"/>
      <sz val="11"/>
    </font>
    <font>
      <name val="Calibri"/>
      <b val="1"/>
      <color rgb="00002060"/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F2F5F9"/>
        <bgColor rgb="00F2F5F9"/>
      </patternFill>
    </fill>
    <fill>
      <patternFill patternType="solid">
        <fgColor rgb="004A607A"/>
        <bgColor rgb="004A607A"/>
      </patternFill>
    </fill>
    <fill>
      <patternFill patternType="solid">
        <fgColor rgb="001E4D6B"/>
        <bgColor rgb="001E4D6B"/>
      </patternFill>
    </fill>
    <fill>
      <patternFill patternType="solid">
        <fgColor rgb="00203764"/>
        <bgColor rgb="00203764"/>
      </patternFill>
    </fill>
    <fill>
      <patternFill patternType="solid">
        <fgColor rgb="00E2EFDA"/>
        <bgColor rgb="00E2EFDA"/>
      </patternFill>
    </fill>
    <fill>
      <patternFill patternType="solid">
        <fgColor rgb="00BDD7EE"/>
        <bgColor rgb="00BDD7EE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8" fillId="0" borderId="1" pivotButton="0" quotePrefix="0" xfId="0"/>
    <xf numFmtId="164" fontId="8" fillId="6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8" fillId="6" borderId="1" applyAlignment="1" pivotButton="0" quotePrefix="0" xfId="0">
      <alignment horizontal="right" vertical="center"/>
    </xf>
    <xf numFmtId="0" fontId="4" fillId="0" borderId="1" pivotButton="0" quotePrefix="0" xfId="0"/>
    <xf numFmtId="165" fontId="4" fillId="0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0" fontId="8" fillId="6" borderId="1" applyAlignment="1" pivotButton="0" quotePrefix="0" xfId="0">
      <alignment horizontal="right" vertical="center"/>
    </xf>
    <xf numFmtId="0" fontId="4" fillId="5" borderId="1" pivotButton="0" quotePrefix="0" xfId="0"/>
    <xf numFmtId="10" fontId="4" fillId="5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3" fillId="7" borderId="0" applyAlignment="1" pivotButton="0" quotePrefix="0" xfId="0">
      <alignment horizontal="left" vertical="center"/>
    </xf>
    <xf numFmtId="0" fontId="8" fillId="0" borderId="0" pivotButton="0" quotePrefix="0" xfId="0"/>
    <xf numFmtId="166" fontId="0" fillId="0" borderId="1" applyAlignment="1" pivotButton="0" quotePrefix="0" xfId="0">
      <alignment horizontal="right" vertical="center"/>
    </xf>
    <xf numFmtId="166" fontId="0" fillId="6" borderId="1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0" fillId="0" borderId="1" pivotButton="0" quotePrefix="0" xfId="0"/>
    <xf numFmtId="0" fontId="7" fillId="0" borderId="1" pivotButton="0" quotePrefix="0" xfId="0"/>
    <xf numFmtId="166" fontId="7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9" fillId="0" borderId="0" pivotButton="0" quotePrefix="0" xfId="0"/>
    <xf numFmtId="165" fontId="9" fillId="5" borderId="2" applyAlignment="1" pivotButton="0" quotePrefix="0" xfId="0">
      <alignment horizontal="right" vertical="center"/>
    </xf>
    <xf numFmtId="2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167" fontId="8" fillId="0" borderId="1" applyAlignment="1" pivotButton="0" quotePrefix="0" xfId="0">
      <alignment horizontal="right" vertical="center"/>
    </xf>
    <xf numFmtId="0" fontId="10" fillId="5" borderId="1" pivotButton="0" quotePrefix="0" xfId="0"/>
    <xf numFmtId="165" fontId="10" fillId="5" borderId="1" applyAlignment="1" pivotButton="0" quotePrefix="0" xfId="0">
      <alignment horizontal="right" vertical="center"/>
    </xf>
    <xf numFmtId="2" fontId="8" fillId="0" borderId="1" applyAlignment="1" pivotButton="0" quotePrefix="0" xfId="0">
      <alignment horizontal="right" vertical="center"/>
    </xf>
    <xf numFmtId="0" fontId="11" fillId="10" borderId="2" pivotButton="0" quotePrefix="0" xfId="0"/>
    <xf numFmtId="164" fontId="11" fillId="10" borderId="2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12" fillId="10" borderId="1" pivotButton="0" quotePrefix="0" xfId="0"/>
    <xf numFmtId="166" fontId="12" fillId="1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10" fontId="4" fillId="11" borderId="1" applyAlignment="1" pivotButton="0" quotePrefix="0" xfId="0">
      <alignment horizontal="center" vertical="center"/>
    </xf>
    <xf numFmtId="164" fontId="13" fillId="11" borderId="1" applyAlignment="1" pivotButton="0" quotePrefix="0" xfId="0">
      <alignment horizontal="right" vertical="center"/>
    </xf>
    <xf numFmtId="168" fontId="4" fillId="5" borderId="1" applyAlignment="1" pivotButton="0" quotePrefix="0" xfId="0">
      <alignment horizontal="center" vertical="center"/>
    </xf>
    <xf numFmtId="168" fontId="4" fillId="11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2" fontId="4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Antigravity DCF Builder</author>
  </authors>
  <commentList>
    <comment ref="B5" authorId="0" shapeId="0">
      <text>
        <t>Source: User Scenario Switch (1 = Bear Case, 2 = Base Case, 3 = Bull Case)</t>
      </text>
    </comment>
    <comment ref="B10" authorId="0" shapeId="0">
      <text>
        <t>Source: Market Data close price $105.19</t>
      </text>
    </comment>
    <comment ref="B11" authorId="0" shapeId="0">
      <text>
        <t>Source: 2024 Form 10-K Note on EPS and Diluted Shares</t>
      </text>
    </comment>
    <comment ref="B13" authorId="0" shapeId="0">
      <text>
        <t>Source: 2024 Form 10-K Total Debt $1,831M</t>
      </text>
    </comment>
    <comment ref="B14" authorId="0" shapeId="0">
      <text>
        <t>Source: 2024 Form 10-K Cash &amp; Cash Equivalents $997M</t>
      </text>
    </comment>
    <comment ref="B20" authorId="0" shapeId="0">
      <text>
        <t>Source: US 10-Year Treasury Yield Benchmark 4.50%</t>
      </text>
    </comment>
    <comment ref="B21" authorId="0" shapeId="0">
      <text>
        <t>Source: 5-Year Monthly Beta 0.65</t>
      </text>
    </comment>
    <comment ref="B22" authorId="0" shapeId="0">
      <text>
        <t>Source: Damodaran US Equity Risk Premium 5.50%</t>
      </text>
    </comment>
    <comment ref="B24" authorId="0" shapeId="0">
      <text>
        <t>Source: 2024 10-K Effective Borrowing Rate ~5.30%</t>
      </text>
    </comment>
    <comment ref="B25" authorId="0" shapeId="0">
      <text>
        <t>Source: Historical Normalized Tax Rate 25.0%</t>
      </text>
    </comment>
    <comment ref="B30" authorId="0" shapeId="0">
      <text>
        <t>Source: Long-term Global GDP Growth Target 2.50%</t>
      </text>
    </comment>
    <comment ref="E35" authorId="0" shapeId="0">
      <text>
        <t>Bear Case Assumption: Revenue Growth Rate (%) = 1.0%</t>
      </text>
    </comment>
    <comment ref="F35" authorId="0" shapeId="0">
      <text>
        <t>Bear Case Assumption: Revenue Growth Rate (%) = 1.5%</t>
      </text>
    </comment>
    <comment ref="G35" authorId="0" shapeId="0">
      <text>
        <t>Bear Case Assumption: Revenue Growth Rate (%) = 2.0%</t>
      </text>
    </comment>
    <comment ref="H35" authorId="0" shapeId="0">
      <text>
        <t>Bear Case Assumption: Revenue Growth Rate (%) = 2.0%</t>
      </text>
    </comment>
    <comment ref="I35" authorId="0" shapeId="0">
      <text>
        <t>Bear Case Assumption: Revenue Growth Rate (%) = 2.0%</t>
      </text>
    </comment>
    <comment ref="E36" authorId="0" shapeId="0">
      <text>
        <t>Bear Case Assumption: EBIT Margin (%) = 11.0%</t>
      </text>
    </comment>
    <comment ref="F36" authorId="0" shapeId="0">
      <text>
        <t>Bear Case Assumption: EBIT Margin (%) = 11.2%</t>
      </text>
    </comment>
    <comment ref="G36" authorId="0" shapeId="0">
      <text>
        <t>Bear Case Assumption: EBIT Margin (%) = 11.5%</t>
      </text>
    </comment>
    <comment ref="H36" authorId="0" shapeId="0">
      <text>
        <t>Bear Case Assumption: EBIT Margin (%) = 11.5%</t>
      </text>
    </comment>
    <comment ref="I36" authorId="0" shapeId="0">
      <text>
        <t>Bear Case Assumption: EBIT Margin (%) = 11.5%</t>
      </text>
    </comment>
    <comment ref="E37" authorId="0" shapeId="0">
      <text>
        <t>Bear Case Assumption: D&amp;A (% of Revenue) = 2.8%</t>
      </text>
    </comment>
    <comment ref="F37" authorId="0" shapeId="0">
      <text>
        <t>Bear Case Assumption: D&amp;A (% of Revenue) = 2.8%</t>
      </text>
    </comment>
    <comment ref="G37" authorId="0" shapeId="0">
      <text>
        <t>Bear Case Assumption: D&amp;A (% of Revenue) = 2.8%</t>
      </text>
    </comment>
    <comment ref="H37" authorId="0" shapeId="0">
      <text>
        <t>Bear Case Assumption: D&amp;A (% of Revenue) = 2.8%</t>
      </text>
    </comment>
    <comment ref="I37" authorId="0" shapeId="0">
      <text>
        <t>Bear Case Assumption: D&amp;A (% of Revenue) = 2.8%</t>
      </text>
    </comment>
    <comment ref="E38" authorId="0" shapeId="0">
      <text>
        <t>Bear Case Assumption: CapEx (% of Revenue) = 3.8%</t>
      </text>
    </comment>
    <comment ref="F38" authorId="0" shapeId="0">
      <text>
        <t>Bear Case Assumption: CapEx (% of Revenue) = 3.8%</t>
      </text>
    </comment>
    <comment ref="G38" authorId="0" shapeId="0">
      <text>
        <t>Bear Case Assumption: CapEx (% of Revenue) = 3.8%</t>
      </text>
    </comment>
    <comment ref="H38" authorId="0" shapeId="0">
      <text>
        <t>Bear Case Assumption: CapEx (% of Revenue) = 3.8%</t>
      </text>
    </comment>
    <comment ref="I38" authorId="0" shapeId="0">
      <text>
        <t>Bear Case Assumption: CapEx (% of Revenue) = 3.8%</t>
      </text>
    </comment>
    <comment ref="E39" authorId="0" shapeId="0">
      <text>
        <t>Bear Case Assumption: NWC Change (% of ΔRev) = 1.5%</t>
      </text>
    </comment>
    <comment ref="F39" authorId="0" shapeId="0">
      <text>
        <t>Bear Case Assumption: NWC Change (% of ΔRev) = 1.5%</t>
      </text>
    </comment>
    <comment ref="G39" authorId="0" shapeId="0">
      <text>
        <t>Bear Case Assumption: NWC Change (% of ΔRev) = 1.5%</t>
      </text>
    </comment>
    <comment ref="H39" authorId="0" shapeId="0">
      <text>
        <t>Bear Case Assumption: NWC Change (% of ΔRev) = 1.5%</t>
      </text>
    </comment>
    <comment ref="I39" authorId="0" shapeId="0">
      <text>
        <t>Bear Case Assumption: NWC Change (% of ΔRev) = 1.5%</t>
      </text>
    </comment>
    <comment ref="E40" authorId="0" shapeId="0">
      <text>
        <t>Bear Case Assumption: Terminal Growth Rate (g) = 2.0%</t>
      </text>
    </comment>
    <comment ref="F40" authorId="0" shapeId="0">
      <text>
        <t>Bear Case Assumption: Terminal Growth Rate (g) = 2.0%</t>
      </text>
    </comment>
    <comment ref="G40" authorId="0" shapeId="0">
      <text>
        <t>Bear Case Assumption: Terminal Growth Rate (g) = 2.0%</t>
      </text>
    </comment>
    <comment ref="H40" authorId="0" shapeId="0">
      <text>
        <t>Bear Case Assumption: Terminal Growth Rate (g) = 2.0%</t>
      </text>
    </comment>
    <comment ref="I40" authorId="0" shapeId="0">
      <text>
        <t>Bear Case Assumption: Terminal Growth Rate (g) = 2.0%</t>
      </text>
    </comment>
    <comment ref="E43" authorId="0" shapeId="0">
      <text>
        <t>Base Case Assumption: Revenue Growth Rate (%) = 3.0%</t>
      </text>
    </comment>
    <comment ref="F43" authorId="0" shapeId="0">
      <text>
        <t>Base Case Assumption: Revenue Growth Rate (%) = 3.5%</t>
      </text>
    </comment>
    <comment ref="G43" authorId="0" shapeId="0">
      <text>
        <t>Base Case Assumption: Revenue Growth Rate (%) = 4.0%</t>
      </text>
    </comment>
    <comment ref="H43" authorId="0" shapeId="0">
      <text>
        <t>Base Case Assumption: Revenue Growth Rate (%) = 3.5%</t>
      </text>
    </comment>
    <comment ref="I43" authorId="0" shapeId="0">
      <text>
        <t>Base Case Assumption: Revenue Growth Rate (%) = 3.0%</t>
      </text>
    </comment>
    <comment ref="E44" authorId="0" shapeId="0">
      <text>
        <t>Base Case Assumption: EBIT Margin (%) = 12.0%</t>
      </text>
    </comment>
    <comment ref="F44" authorId="0" shapeId="0">
      <text>
        <t>Base Case Assumption: EBIT Margin (%) = 12.2%</t>
      </text>
    </comment>
    <comment ref="G44" authorId="0" shapeId="0">
      <text>
        <t>Base Case Assumption: EBIT Margin (%) = 12.4%</t>
      </text>
    </comment>
    <comment ref="H44" authorId="0" shapeId="0">
      <text>
        <t>Base Case Assumption: EBIT Margin (%) = 12.5%</t>
      </text>
    </comment>
    <comment ref="I44" authorId="0" shapeId="0">
      <text>
        <t>Base Case Assumption: EBIT Margin (%) = 12.5%</t>
      </text>
    </comment>
    <comment ref="E45" authorId="0" shapeId="0">
      <text>
        <t>Base Case Assumption: D&amp;A (% of Revenue) = 2.8%</t>
      </text>
    </comment>
    <comment ref="F45" authorId="0" shapeId="0">
      <text>
        <t>Base Case Assumption: D&amp;A (% of Revenue) = 2.8%</t>
      </text>
    </comment>
    <comment ref="G45" authorId="0" shapeId="0">
      <text>
        <t>Base Case Assumption: D&amp;A (% of Revenue) = 2.8%</t>
      </text>
    </comment>
    <comment ref="H45" authorId="0" shapeId="0">
      <text>
        <t>Base Case Assumption: D&amp;A (% of Revenue) = 2.8%</t>
      </text>
    </comment>
    <comment ref="I45" authorId="0" shapeId="0">
      <text>
        <t>Base Case Assumption: D&amp;A (% of Revenue) = 2.8%</t>
      </text>
    </comment>
    <comment ref="E46" authorId="0" shapeId="0">
      <text>
        <t>Base Case Assumption: CapEx (% of Revenue) = 3.8%</t>
      </text>
    </comment>
    <comment ref="F46" authorId="0" shapeId="0">
      <text>
        <t>Base Case Assumption: CapEx (% of Revenue) = 3.7%</t>
      </text>
    </comment>
    <comment ref="G46" authorId="0" shapeId="0">
      <text>
        <t>Base Case Assumption: CapEx (% of Revenue) = 3.6%</t>
      </text>
    </comment>
    <comment ref="H46" authorId="0" shapeId="0">
      <text>
        <t>Base Case Assumption: CapEx (% of Revenue) = 3.5%</t>
      </text>
    </comment>
    <comment ref="I46" authorId="0" shapeId="0">
      <text>
        <t>Base Case Assumption: CapEx (% of Revenue) = 3.5%</t>
      </text>
    </comment>
    <comment ref="E47" authorId="0" shapeId="0">
      <text>
        <t>Base Case Assumption: NWC Change (% of ΔRev) = 1.5%</t>
      </text>
    </comment>
    <comment ref="F47" authorId="0" shapeId="0">
      <text>
        <t>Base Case Assumption: NWC Change (% of ΔRev) = 1.5%</t>
      </text>
    </comment>
    <comment ref="G47" authorId="0" shapeId="0">
      <text>
        <t>Base Case Assumption: NWC Change (% of ΔRev) = 1.5%</t>
      </text>
    </comment>
    <comment ref="H47" authorId="0" shapeId="0">
      <text>
        <t>Base Case Assumption: NWC Change (% of ΔRev) = 1.5%</t>
      </text>
    </comment>
    <comment ref="I47" authorId="0" shapeId="0">
      <text>
        <t>Base Case Assumption: NWC Change (% of ΔRev) = 1.5%</t>
      </text>
    </comment>
    <comment ref="E48" authorId="0" shapeId="0">
      <text>
        <t>Base Case Assumption: Terminal Growth Rate (g) = 2.5%</t>
      </text>
    </comment>
    <comment ref="F48" authorId="0" shapeId="0">
      <text>
        <t>Base Case Assumption: Terminal Growth Rate (g) = 2.5%</t>
      </text>
    </comment>
    <comment ref="G48" authorId="0" shapeId="0">
      <text>
        <t>Base Case Assumption: Terminal Growth Rate (g) = 2.5%</t>
      </text>
    </comment>
    <comment ref="H48" authorId="0" shapeId="0">
      <text>
        <t>Base Case Assumption: Terminal Growth Rate (g) = 2.5%</t>
      </text>
    </comment>
    <comment ref="I48" authorId="0" shapeId="0">
      <text>
        <t>Base Case Assumption: Terminal Growth Rate (g) = 2.5%</t>
      </text>
    </comment>
    <comment ref="E51" authorId="0" shapeId="0">
      <text>
        <t>Bull Case Assumption: Revenue Growth Rate (%) = 5.0%</t>
      </text>
    </comment>
    <comment ref="F51" authorId="0" shapeId="0">
      <text>
        <t>Bull Case Assumption: Revenue Growth Rate (%) = 5.5%</t>
      </text>
    </comment>
    <comment ref="G51" authorId="0" shapeId="0">
      <text>
        <t>Bull Case Assumption: Revenue Growth Rate (%) = 6.0%</t>
      </text>
    </comment>
    <comment ref="H51" authorId="0" shapeId="0">
      <text>
        <t>Bull Case Assumption: Revenue Growth Rate (%) = 5.0%</t>
      </text>
    </comment>
    <comment ref="I51" authorId="0" shapeId="0">
      <text>
        <t>Bull Case Assumption: Revenue Growth Rate (%) = 4.0%</t>
      </text>
    </comment>
    <comment ref="E52" authorId="0" shapeId="0">
      <text>
        <t>Bull Case Assumption: EBIT Margin (%) = 12.5%</t>
      </text>
    </comment>
    <comment ref="F52" authorId="0" shapeId="0">
      <text>
        <t>Bull Case Assumption: EBIT Margin (%) = 12.8%</t>
      </text>
    </comment>
    <comment ref="G52" authorId="0" shapeId="0">
      <text>
        <t>Bull Case Assumption: EBIT Margin (%) = 13.2%</t>
      </text>
    </comment>
    <comment ref="H52" authorId="0" shapeId="0">
      <text>
        <t>Bull Case Assumption: EBIT Margin (%) = 13.5%</t>
      </text>
    </comment>
    <comment ref="I52" authorId="0" shapeId="0">
      <text>
        <t>Bull Case Assumption: EBIT Margin (%) = 13.5%</t>
      </text>
    </comment>
    <comment ref="E53" authorId="0" shapeId="0">
      <text>
        <t>Bull Case Assumption: D&amp;A (% of Revenue) = 2.8%</t>
      </text>
    </comment>
    <comment ref="F53" authorId="0" shapeId="0">
      <text>
        <t>Bull Case Assumption: D&amp;A (% of Revenue) = 2.8%</t>
      </text>
    </comment>
    <comment ref="G53" authorId="0" shapeId="0">
      <text>
        <t>Bull Case Assumption: D&amp;A (% of Revenue) = 2.8%</t>
      </text>
    </comment>
    <comment ref="H53" authorId="0" shapeId="0">
      <text>
        <t>Bull Case Assumption: D&amp;A (% of Revenue) = 2.8%</t>
      </text>
    </comment>
    <comment ref="I53" authorId="0" shapeId="0">
      <text>
        <t>Bull Case Assumption: D&amp;A (% of Revenue) = 2.8%</t>
      </text>
    </comment>
    <comment ref="E54" authorId="0" shapeId="0">
      <text>
        <t>Bull Case Assumption: CapEx (% of Revenue) = 3.8%</t>
      </text>
    </comment>
    <comment ref="F54" authorId="0" shapeId="0">
      <text>
        <t>Bull Case Assumption: CapEx (% of Revenue) = 3.6%</t>
      </text>
    </comment>
    <comment ref="G54" authorId="0" shapeId="0">
      <text>
        <t>Bull Case Assumption: CapEx (% of Revenue) = 3.5%</t>
      </text>
    </comment>
    <comment ref="H54" authorId="0" shapeId="0">
      <text>
        <t>Bull Case Assumption: CapEx (% of Revenue) = 3.4%</t>
      </text>
    </comment>
    <comment ref="I54" authorId="0" shapeId="0">
      <text>
        <t>Bull Case Assumption: CapEx (% of Revenue) = 3.4%</t>
      </text>
    </comment>
    <comment ref="E55" authorId="0" shapeId="0">
      <text>
        <t>Bull Case Assumption: NWC Change (% of ΔRev) = 1.5%</t>
      </text>
    </comment>
    <comment ref="F55" authorId="0" shapeId="0">
      <text>
        <t>Bull Case Assumption: NWC Change (% of ΔRev) = 1.5%</t>
      </text>
    </comment>
    <comment ref="G55" authorId="0" shapeId="0">
      <text>
        <t>Bull Case Assumption: NWC Change (% of ΔRev) = 1.5%</t>
      </text>
    </comment>
    <comment ref="H55" authorId="0" shapeId="0">
      <text>
        <t>Bull Case Assumption: NWC Change (% of ΔRev) = 1.5%</t>
      </text>
    </comment>
    <comment ref="I55" authorId="0" shapeId="0">
      <text>
        <t>Bull Case Assumption: NWC Change (% of ΔRev) = 1.5%</t>
      </text>
    </comment>
    <comment ref="E56" authorId="0" shapeId="0">
      <text>
        <t>Bull Case Assumption: Terminal Growth Rate (g) = 3.0%</t>
      </text>
    </comment>
    <comment ref="F56" authorId="0" shapeId="0">
      <text>
        <t>Bull Case Assumption: Terminal Growth Rate (g) = 3.0%</t>
      </text>
    </comment>
    <comment ref="G56" authorId="0" shapeId="0">
      <text>
        <t>Bull Case Assumption: Terminal Growth Rate (g) = 3.0%</t>
      </text>
    </comment>
    <comment ref="H56" authorId="0" shapeId="0">
      <text>
        <t>Bull Case Assumption: Terminal Growth Rate (g) = 3.0%</t>
      </text>
    </comment>
    <comment ref="I56" authorId="0" shapeId="0">
      <text>
        <t>Bull Case Assumption: Terminal Growth Rate (g) = 3.0%</t>
      </text>
    </comment>
    <comment ref="B68" authorId="0" shapeId="0">
      <text>
        <t>Source: 2024 10-K Consolidated Statements of Income (FY2022)</t>
      </text>
    </comment>
    <comment ref="C68" authorId="0" shapeId="0">
      <text>
        <t>Source: 2024 10-K Consolidated Statements of Income (FY2023)</t>
      </text>
    </comment>
    <comment ref="D68" authorId="0" shapeId="0">
      <text>
        <t>Source: 2024 10-K Consolidated Statements of Income (FY2024)</t>
      </text>
    </comment>
    <comment ref="B70" authorId="0" shapeId="0">
      <text>
        <t>Source: 2024 10-K COGS FY2022</t>
      </text>
    </comment>
    <comment ref="C70" authorId="0" shapeId="0">
      <text>
        <t>Source: 2024 10-K COGS FY2023</t>
      </text>
    </comment>
    <comment ref="D70" authorId="0" shapeId="0">
      <text>
        <t>Source: 2024 10-K COGS FY2024</t>
      </text>
    </comment>
    <comment ref="B73" authorId="0" shapeId="0">
      <text>
        <t>Source: 2024 10-K Operating Income FY2022</t>
      </text>
    </comment>
    <comment ref="C73" authorId="0" shapeId="0">
      <text>
        <t>Source: 2024 10-K Operating Income FY2023</t>
      </text>
    </comment>
    <comment ref="D73" authorId="0" shapeId="0">
      <text>
        <t>Source: 2024 10-K Operating Income FY2024</t>
      </text>
    </comment>
    <comment ref="B77" authorId="0" shapeId="0">
      <text>
        <t>Source: 2024 10-K Cash Flow D&amp;A FY2022</t>
      </text>
    </comment>
    <comment ref="C77" authorId="0" shapeId="0">
      <text>
        <t>Source: 2024 10-K Cash Flow D&amp;A FY2023</t>
      </text>
    </comment>
    <comment ref="D77" authorId="0" shapeId="0">
      <text>
        <t>Source: 2024 10-K Cash Flow D&amp;A FY2024</t>
      </text>
    </comment>
    <comment ref="B78" authorId="0" shapeId="0">
      <text>
        <t>Source: 2024 10-K Cash Flow CapEx FY2022</t>
      </text>
    </comment>
    <comment ref="C78" authorId="0" shapeId="0">
      <text>
        <t>Source: 2024 10-K Cash Flow CapEx FY2023</t>
      </text>
    </comment>
    <comment ref="D78" authorId="0" shapeId="0">
      <text>
        <t>Source: 2024 10-K Cash Flow CapEx FY2024</t>
      </text>
    </comment>
    <comment ref="B79" authorId="0" shapeId="0">
      <text>
        <t>Source: 2024 10-K Historical NWC change FY2022</t>
      </text>
    </comment>
    <comment ref="C79" authorId="0" shapeId="0">
      <text>
        <t>Source: 2024 10-K Historical NWC change FY2023</t>
      </text>
    </comment>
    <comment ref="D79" authorId="0" shapeId="0">
      <text>
        <t>Source: 2024 10-K Historical NWC change FY2024</t>
      </text>
    </comment>
    <comment ref="E107" authorId="0" shapeId="0">
      <text>
        <t>BASE CASE VALUE: WACC = $B$29, g = $E$64 (Matches Base DCF Valuation)</t>
      </text>
    </comment>
    <comment ref="E116" authorId="0" shapeId="0">
      <text>
        <t>BASE CASE VALUE: Rev Delta = 0.0%, Margin Delta = 0.0%</t>
      </text>
    </comment>
    <comment ref="E125" authorId="0" shapeId="0">
      <text>
        <t>BASE CASE VALUE: Beta = $B$21, Rf = $B$20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2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INGREDION INCORPORATED (NYSE: INGR) — 5-YEAR DCF VALUATION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18" customHeight="1">
      <c r="A2" s="2" t="inlineStr">
        <is>
          <t>Institutional Equity Research | Discounted Cash Flow Valuation with Scenario Switches &amp; Sensitivity Analysis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 ht="24" customHeight="1">
      <c r="A4" s="3" t="inlineStr">
        <is>
          <t>1. SCENARIO CONTROL &amp; SELECTION</t>
        </is>
      </c>
      <c r="B4" s="3" t="n"/>
      <c r="C4" s="3" t="n"/>
      <c r="D4" s="3" t="n"/>
      <c r="E4" s="3" t="n"/>
      <c r="F4" s="3" t="n"/>
      <c r="G4" s="3" t="n"/>
      <c r="H4" s="3" t="n"/>
      <c r="I4" s="3" t="n"/>
    </row>
    <row r="5">
      <c r="A5" s="4" t="inlineStr">
        <is>
          <t>Active Scenario Selector [1=Bear, 2=Base, 3=Bull]:</t>
        </is>
      </c>
      <c r="B5" s="5" t="n">
        <v>2</v>
      </c>
      <c r="C5" s="6" t="inlineStr">
        <is>
          <t>Active Scenario Name:</t>
        </is>
      </c>
      <c r="D5" s="7">
        <f>IF(B5=1,"Bear Case",IF(B5=2,"Base Case","Bull Case"))</f>
        <v/>
      </c>
    </row>
    <row r="6">
      <c r="A6" s="8" t="inlineStr">
        <is>
          <t>Scenario Narrative Summary:</t>
        </is>
      </c>
      <c r="B6" s="8">
        <f>IF(B5=1,"Conservative: 1.0-2.0% top-line growth, 11.0-11.5% EBIT margin, terminal g=2.0%",IF(B5=2,"Base Case: 3.0-4.0% revenue growth, specialty mix expansion to 12.5% EBIT margin, terminal g=2.5%","Optimistic: 4.0-6.0% growth on clean-label demand, 13.5% EBIT margin, terminal g=3.0%"))</f>
        <v/>
      </c>
    </row>
    <row r="8" ht="24" customHeight="1">
      <c r="A8" s="3" t="inlineStr">
        <is>
          <t>2. MARKET DATA &amp; CAPITAL STRUCTURE</t>
        </is>
      </c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s="9" t="inlineStr">
        <is>
          <t>Metric</t>
        </is>
      </c>
      <c r="B9" s="10" t="inlineStr">
        <is>
          <t>Value</t>
        </is>
      </c>
      <c r="C9" s="10" t="inlineStr">
        <is>
          <t>Unit</t>
        </is>
      </c>
      <c r="D9" s="9" t="inlineStr">
        <is>
          <t>Reference / Logic</t>
        </is>
      </c>
      <c r="E9" s="9" t="inlineStr">
        <is>
          <t>Data Source &amp; Filing Notes</t>
        </is>
      </c>
    </row>
    <row r="10">
      <c r="A10" s="11" t="inlineStr">
        <is>
          <t>Current Share Price</t>
        </is>
      </c>
      <c r="B10" s="12" t="n">
        <v>105.19</v>
      </c>
      <c r="C10" s="13" t="inlineStr">
        <is>
          <t>USD ($)</t>
        </is>
      </c>
      <c r="D10" s="14" t="inlineStr">
        <is>
          <t>Market Close Price</t>
        </is>
      </c>
      <c r="E10" s="14" t="inlineStr">
        <is>
          <t>Source: NYSE Market Data Aug 2026</t>
        </is>
      </c>
    </row>
    <row r="11">
      <c r="A11" s="11" t="inlineStr">
        <is>
          <t>Diluted Shares Outstanding</t>
        </is>
      </c>
      <c r="B11" s="15" t="n">
        <v>63.2</v>
      </c>
      <c r="C11" s="13" t="inlineStr">
        <is>
          <t>Million (M)</t>
        </is>
      </c>
      <c r="D11" s="14" t="inlineStr">
        <is>
          <t>Filing Diluted Count</t>
        </is>
      </c>
      <c r="E11" s="14" t="inlineStr">
        <is>
          <t>Source: 2024 10-K &amp; Guidance (63.0M - 64.0M)</t>
        </is>
      </c>
    </row>
    <row r="12">
      <c r="A12" s="16" t="inlineStr">
        <is>
          <t>Market Capitalization</t>
        </is>
      </c>
      <c r="B12" s="17">
        <f>B10*B11</f>
        <v/>
      </c>
      <c r="C12" s="13" t="inlineStr">
        <is>
          <t>$ Millions</t>
        </is>
      </c>
      <c r="D12" s="14" t="inlineStr">
        <is>
          <t>Price * Diluted Shares</t>
        </is>
      </c>
      <c r="E12" s="14" t="inlineStr">
        <is>
          <t>Calculated Equity Value</t>
        </is>
      </c>
    </row>
    <row r="13">
      <c r="A13" s="11" t="inlineStr">
        <is>
          <t>Total Debt (Short + Long-Term)</t>
        </is>
      </c>
      <c r="B13" s="18" t="n">
        <v>1831</v>
      </c>
      <c r="C13" s="13" t="inlineStr">
        <is>
          <t>$ Millions</t>
        </is>
      </c>
      <c r="D13" s="14" t="inlineStr">
        <is>
          <t>Balance Sheet Debt</t>
        </is>
      </c>
      <c r="E13" s="14" t="inlineStr">
        <is>
          <t>Source: 2024 10-K Consolidated Balance Sheet</t>
        </is>
      </c>
    </row>
    <row r="14">
      <c r="A14" s="11" t="inlineStr">
        <is>
          <t>Less: Cash &amp; Cash Equivalents</t>
        </is>
      </c>
      <c r="B14" s="18" t="n">
        <v>997</v>
      </c>
      <c r="C14" s="13" t="inlineStr">
        <is>
          <t>$ Millions</t>
        </is>
      </c>
      <c r="D14" s="14" t="inlineStr">
        <is>
          <t>Balance Sheet Cash</t>
        </is>
      </c>
      <c r="E14" s="14" t="inlineStr">
        <is>
          <t>Source: 2024 10-K Consolidated Balance Sheet</t>
        </is>
      </c>
    </row>
    <row r="15">
      <c r="A15" s="16" t="inlineStr">
        <is>
          <t>Net Debt</t>
        </is>
      </c>
      <c r="B15" s="17">
        <f>B13-B14</f>
        <v/>
      </c>
      <c r="C15" s="13" t="inlineStr">
        <is>
          <t>$ Millions</t>
        </is>
      </c>
      <c r="D15" s="14" t="inlineStr">
        <is>
          <t>Total Debt - Cash</t>
        </is>
      </c>
      <c r="E15" s="14" t="inlineStr">
        <is>
          <t>Calculated Net Debt</t>
        </is>
      </c>
    </row>
    <row r="16">
      <c r="A16" s="16" t="inlineStr">
        <is>
          <t>Enterprise Value (Market EV)</t>
        </is>
      </c>
      <c r="B16" s="17">
        <f>B12+B15</f>
        <v/>
      </c>
      <c r="C16" s="13" t="inlineStr">
        <is>
          <t>$ Millions</t>
        </is>
      </c>
      <c r="D16" s="14" t="inlineStr">
        <is>
          <t>Market Cap + Net Debt</t>
        </is>
      </c>
      <c r="E16" s="14" t="inlineStr">
        <is>
          <t>Calculated Market Enterprise Value</t>
        </is>
      </c>
    </row>
    <row r="18" ht="24" customHeight="1">
      <c r="A18" s="3" t="inlineStr">
        <is>
          <t>3. COST OF CAPITAL (WACC) PARAMETERS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</row>
    <row r="19">
      <c r="A19" s="9" t="inlineStr">
        <is>
          <t>Parameter</t>
        </is>
      </c>
      <c r="B19" s="10" t="inlineStr">
        <is>
          <t>Value</t>
        </is>
      </c>
      <c r="C19" s="10" t="inlineStr">
        <is>
          <t>Unit / Metric</t>
        </is>
      </c>
      <c r="D19" s="9" t="inlineStr">
        <is>
          <t>Formula / Methodology</t>
        </is>
      </c>
      <c r="E19" s="9" t="inlineStr">
        <is>
          <t>Source &amp; Industry Benchmark</t>
        </is>
      </c>
    </row>
    <row r="20">
      <c r="A20" s="11" t="inlineStr">
        <is>
          <t>Risk-Free Rate (Rf)</t>
        </is>
      </c>
      <c r="B20" s="19" t="n">
        <v>0.045</v>
      </c>
      <c r="C20" s="13" t="inlineStr">
        <is>
          <t>%</t>
        </is>
      </c>
      <c r="D20" s="14" t="inlineStr">
        <is>
          <t>10-Year US Treasury Benchmark</t>
        </is>
      </c>
      <c r="E20" s="14" t="inlineStr">
        <is>
          <t>Source: US Department of the Treasury Yield Curve</t>
        </is>
      </c>
    </row>
    <row r="21">
      <c r="A21" s="11" t="inlineStr">
        <is>
          <t>Equity Beta (β)</t>
        </is>
      </c>
      <c r="B21" s="15" t="n">
        <v>0.65</v>
      </c>
      <c r="C21" s="13" t="inlineStr">
        <is>
          <t>Multiple</t>
        </is>
      </c>
      <c r="D21" s="14" t="inlineStr">
        <is>
          <t>5-Year Monthly Regression Beta</t>
        </is>
      </c>
      <c r="E21" s="14" t="inlineStr">
        <is>
          <t>Source: Bloomberg / S&amp;P Market Intelligence</t>
        </is>
      </c>
    </row>
    <row r="22">
      <c r="A22" s="11" t="inlineStr">
        <is>
          <t>Equity Risk Premium (ERP)</t>
        </is>
      </c>
      <c r="B22" s="19" t="n">
        <v>0.055</v>
      </c>
      <c r="C22" s="13" t="inlineStr">
        <is>
          <t>%</t>
        </is>
      </c>
      <c r="D22" s="14" t="inlineStr">
        <is>
          <t>US Market Risk Premium</t>
        </is>
      </c>
      <c r="E22" s="14" t="inlineStr">
        <is>
          <t>Source: Damodaran ERP (2025/2026 Standard)</t>
        </is>
      </c>
    </row>
    <row r="23">
      <c r="A23" s="20" t="inlineStr">
        <is>
          <t>Cost of Equity (Ke)</t>
        </is>
      </c>
      <c r="B23" s="21">
        <f>B20+B21*B22</f>
        <v/>
      </c>
      <c r="C23" s="13" t="inlineStr">
        <is>
          <t>%</t>
        </is>
      </c>
      <c r="D23" s="14" t="inlineStr">
        <is>
          <t>CAPM: Rf + Beta * ERP</t>
        </is>
      </c>
      <c r="E23" s="14" t="inlineStr">
        <is>
          <t>Estimated Cost of Equity</t>
        </is>
      </c>
    </row>
    <row r="24">
      <c r="A24" s="11" t="inlineStr">
        <is>
          <t>Pre-Tax Cost of Debt (Kd)</t>
        </is>
      </c>
      <c r="B24" s="19" t="n">
        <v>0.053</v>
      </c>
      <c r="C24" s="13" t="inlineStr">
        <is>
          <t>%</t>
        </is>
      </c>
      <c r="D24" s="14" t="inlineStr">
        <is>
          <t>Effective Borrowing Cost</t>
        </is>
      </c>
      <c r="E24" s="14" t="inlineStr">
        <is>
          <t>Source: 2024 10-K Interest Expense / Avg Debt</t>
        </is>
      </c>
    </row>
    <row r="25">
      <c r="A25" s="11" t="inlineStr">
        <is>
          <t>Marginal Effective Tax Rate (t)</t>
        </is>
      </c>
      <c r="B25" s="19" t="n">
        <v>0.25</v>
      </c>
      <c r="C25" s="13" t="inlineStr">
        <is>
          <t>%</t>
        </is>
      </c>
      <c r="D25" s="14" t="inlineStr">
        <is>
          <t>Statutory Federal + State/Intl</t>
        </is>
      </c>
      <c r="E25" s="14" t="inlineStr">
        <is>
          <t>Source: Historical Normalized Effective Tax Rate</t>
        </is>
      </c>
    </row>
    <row r="26">
      <c r="A26" s="11" t="inlineStr">
        <is>
          <t>After-Tax Cost of Debt [Kd*(1-t)]</t>
        </is>
      </c>
      <c r="B26" s="22">
        <f>B24*(1-B25)</f>
        <v/>
      </c>
      <c r="C26" s="13" t="inlineStr">
        <is>
          <t>%</t>
        </is>
      </c>
      <c r="D26" s="14" t="inlineStr">
        <is>
          <t>Kd * (1 - t)</t>
        </is>
      </c>
      <c r="E26" s="14" t="inlineStr">
        <is>
          <t>Calculated After-Tax Cost of Debt</t>
        </is>
      </c>
    </row>
    <row r="27">
      <c r="A27" s="11" t="inlineStr">
        <is>
          <t>Weight of Equity (We)</t>
        </is>
      </c>
      <c r="B27" s="23">
        <f>B12/B16</f>
        <v/>
      </c>
      <c r="C27" s="13" t="inlineStr">
        <is>
          <t>%</t>
        </is>
      </c>
      <c r="D27" s="14" t="inlineStr">
        <is>
          <t>Market Cap / Enterprise Value</t>
        </is>
      </c>
      <c r="E27" s="14" t="inlineStr">
        <is>
          <t>Market Value Capital Weight</t>
        </is>
      </c>
    </row>
    <row r="28">
      <c r="A28" s="11" t="inlineStr">
        <is>
          <t>Weight of Debt (Wd)</t>
        </is>
      </c>
      <c r="B28" s="23">
        <f>B15/B16</f>
        <v/>
      </c>
      <c r="C28" s="13" t="inlineStr">
        <is>
          <t>%</t>
        </is>
      </c>
      <c r="D28" s="14" t="inlineStr">
        <is>
          <t>Net Debt / Enterprise Value</t>
        </is>
      </c>
      <c r="E28" s="14" t="inlineStr">
        <is>
          <t>Market Value Debt Weight</t>
        </is>
      </c>
    </row>
    <row r="29">
      <c r="A29" s="20" t="inlineStr">
        <is>
          <t>Weighted Average Cost of Capital (WACC)</t>
        </is>
      </c>
      <c r="B29" s="21">
        <f>B23*B27+B26*B28</f>
        <v/>
      </c>
      <c r="C29" s="13" t="inlineStr">
        <is>
          <t>%</t>
        </is>
      </c>
      <c r="D29" s="14" t="inlineStr">
        <is>
          <t>(Ke * We) + (Kd*(1-t) * Wd)</t>
        </is>
      </c>
      <c r="E29" s="14" t="inlineStr">
        <is>
          <t>Calculated Model Discount Rate</t>
        </is>
      </c>
    </row>
    <row r="30">
      <c r="A30" s="11" t="inlineStr">
        <is>
          <t>Terminal Growth Rate (g)</t>
        </is>
      </c>
      <c r="B30" s="19" t="n">
        <v>0.025</v>
      </c>
      <c r="C30" s="13" t="inlineStr">
        <is>
          <t>%</t>
        </is>
      </c>
      <c r="D30" s="14" t="inlineStr">
        <is>
          <t>Long-term Sustainable GDP Growth</t>
        </is>
      </c>
      <c r="E30" s="14" t="inlineStr">
        <is>
          <t>Base Perpetuity Growth Assumption</t>
        </is>
      </c>
    </row>
    <row r="32" ht="24" customHeight="1">
      <c r="A32" s="3" t="inlineStr">
        <is>
          <t>4. SCENARIO ASSUMPTIONS BLOCK (BEAR / BASE / BULL)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</row>
    <row r="33" ht="24" customHeight="1">
      <c r="A33" s="24" t="inlineStr">
        <is>
          <t>BEAR CASE ASSUMPTIONS (Scenario 1)</t>
        </is>
      </c>
      <c r="B33" s="24" t="n"/>
      <c r="C33" s="24" t="n"/>
      <c r="D33" s="24" t="n"/>
      <c r="E33" s="24" t="n"/>
      <c r="F33" s="24" t="n"/>
      <c r="G33" s="24" t="n"/>
      <c r="H33" s="24" t="n"/>
      <c r="I33" s="24" t="n"/>
    </row>
    <row r="34">
      <c r="A34" s="9" t="inlineStr">
        <is>
          <t>Assumption Metric</t>
        </is>
      </c>
      <c r="B34" s="10" t="inlineStr">
        <is>
          <t>FY2022</t>
        </is>
      </c>
      <c r="C34" s="10" t="inlineStr">
        <is>
          <t>FY2023</t>
        </is>
      </c>
      <c r="D34" s="10" t="inlineStr">
        <is>
          <t>FY2024A</t>
        </is>
      </c>
      <c r="E34" s="10" t="inlineStr">
        <is>
          <t>FY2025E</t>
        </is>
      </c>
      <c r="F34" s="10" t="inlineStr">
        <is>
          <t>FY2026E</t>
        </is>
      </c>
      <c r="G34" s="10" t="inlineStr">
        <is>
          <t>FY2027E</t>
        </is>
      </c>
      <c r="H34" s="10" t="inlineStr">
        <is>
          <t>FY2028E</t>
        </is>
      </c>
      <c r="I34" s="10" t="inlineStr">
        <is>
          <t>FY2029E</t>
        </is>
      </c>
    </row>
    <row r="35">
      <c r="A35" s="25" t="inlineStr">
        <is>
          <t>Revenue Growth Rate (%)</t>
        </is>
      </c>
      <c r="B35" s="26" t="n"/>
      <c r="C35" s="26" t="n"/>
      <c r="D35" s="26" t="n"/>
      <c r="E35" s="27" t="n">
        <v>0.01</v>
      </c>
      <c r="F35" s="27" t="n">
        <v>0.015</v>
      </c>
      <c r="G35" s="27" t="n">
        <v>0.02</v>
      </c>
      <c r="H35" s="27" t="n">
        <v>0.02</v>
      </c>
      <c r="I35" s="27" t="n">
        <v>0.02</v>
      </c>
    </row>
    <row r="36">
      <c r="A36" s="25" t="inlineStr">
        <is>
          <t>EBIT Margin (%)</t>
        </is>
      </c>
      <c r="B36" s="26" t="n"/>
      <c r="C36" s="26" t="n"/>
      <c r="D36" s="26" t="n"/>
      <c r="E36" s="27" t="n">
        <v>0.11</v>
      </c>
      <c r="F36" s="27" t="n">
        <v>0.112</v>
      </c>
      <c r="G36" s="27" t="n">
        <v>0.115</v>
      </c>
      <c r="H36" s="27" t="n">
        <v>0.115</v>
      </c>
      <c r="I36" s="27" t="n">
        <v>0.115</v>
      </c>
    </row>
    <row r="37">
      <c r="A37" s="25" t="inlineStr">
        <is>
          <t>D&amp;A (% of Revenue)</t>
        </is>
      </c>
      <c r="B37" s="26" t="n"/>
      <c r="C37" s="26" t="n"/>
      <c r="D37" s="26" t="n"/>
      <c r="E37" s="27" t="n">
        <v>0.028</v>
      </c>
      <c r="F37" s="27" t="n">
        <v>0.028</v>
      </c>
      <c r="G37" s="27" t="n">
        <v>0.028</v>
      </c>
      <c r="H37" s="27" t="n">
        <v>0.028</v>
      </c>
      <c r="I37" s="27" t="n">
        <v>0.028</v>
      </c>
    </row>
    <row r="38">
      <c r="A38" s="25" t="inlineStr">
        <is>
          <t>CapEx (% of Revenue)</t>
        </is>
      </c>
      <c r="B38" s="26" t="n"/>
      <c r="C38" s="26" t="n"/>
      <c r="D38" s="26" t="n"/>
      <c r="E38" s="27" t="n">
        <v>0.038</v>
      </c>
      <c r="F38" s="27" t="n">
        <v>0.038</v>
      </c>
      <c r="G38" s="27" t="n">
        <v>0.038</v>
      </c>
      <c r="H38" s="27" t="n">
        <v>0.038</v>
      </c>
      <c r="I38" s="27" t="n">
        <v>0.038</v>
      </c>
    </row>
    <row r="39">
      <c r="A39" s="25" t="inlineStr">
        <is>
          <t>NWC Change (% of ΔRev)</t>
        </is>
      </c>
      <c r="B39" s="26" t="n"/>
      <c r="C39" s="26" t="n"/>
      <c r="D39" s="26" t="n"/>
      <c r="E39" s="27" t="n">
        <v>0.015</v>
      </c>
      <c r="F39" s="27" t="n">
        <v>0.015</v>
      </c>
      <c r="G39" s="27" t="n">
        <v>0.015</v>
      </c>
      <c r="H39" s="27" t="n">
        <v>0.015</v>
      </c>
      <c r="I39" s="27" t="n">
        <v>0.015</v>
      </c>
    </row>
    <row r="40">
      <c r="A40" s="25" t="inlineStr">
        <is>
          <t>Terminal Growth Rate (g)</t>
        </is>
      </c>
      <c r="B40" s="26" t="n"/>
      <c r="C40" s="26" t="n"/>
      <c r="D40" s="26" t="n"/>
      <c r="E40" s="27" t="n">
        <v>0.02</v>
      </c>
      <c r="F40" s="27" t="n">
        <v>0.02</v>
      </c>
      <c r="G40" s="27" t="n">
        <v>0.02</v>
      </c>
      <c r="H40" s="27" t="n">
        <v>0.02</v>
      </c>
      <c r="I40" s="27" t="n">
        <v>0.02</v>
      </c>
    </row>
    <row r="41" ht="24" customHeight="1">
      <c r="A41" s="28" t="inlineStr">
        <is>
          <t>BASE CASE ASSUMPTIONS (Scenario 2 — Consensus / Most Likely)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</row>
    <row r="42">
      <c r="A42" s="9" t="inlineStr">
        <is>
          <t>Assumption Metric</t>
        </is>
      </c>
      <c r="B42" s="10" t="inlineStr">
        <is>
          <t>FY2022</t>
        </is>
      </c>
      <c r="C42" s="10" t="inlineStr">
        <is>
          <t>FY2023</t>
        </is>
      </c>
      <c r="D42" s="10" t="inlineStr">
        <is>
          <t>FY2024A</t>
        </is>
      </c>
      <c r="E42" s="10" t="inlineStr">
        <is>
          <t>FY2025E</t>
        </is>
      </c>
      <c r="F42" s="10" t="inlineStr">
        <is>
          <t>FY2026E</t>
        </is>
      </c>
      <c r="G42" s="10" t="inlineStr">
        <is>
          <t>FY2027E</t>
        </is>
      </c>
      <c r="H42" s="10" t="inlineStr">
        <is>
          <t>FY2028E</t>
        </is>
      </c>
      <c r="I42" s="10" t="inlineStr">
        <is>
          <t>FY2029E</t>
        </is>
      </c>
    </row>
    <row r="43">
      <c r="A43" s="25" t="inlineStr">
        <is>
          <t>Revenue Growth Rate (%)</t>
        </is>
      </c>
      <c r="B43" s="26" t="n"/>
      <c r="C43" s="26" t="n"/>
      <c r="D43" s="26" t="n"/>
      <c r="E43" s="27" t="n">
        <v>0.03</v>
      </c>
      <c r="F43" s="27" t="n">
        <v>0.035</v>
      </c>
      <c r="G43" s="27" t="n">
        <v>0.04</v>
      </c>
      <c r="H43" s="27" t="n">
        <v>0.035</v>
      </c>
      <c r="I43" s="27" t="n">
        <v>0.03</v>
      </c>
    </row>
    <row r="44">
      <c r="A44" s="25" t="inlineStr">
        <is>
          <t>EBIT Margin (%)</t>
        </is>
      </c>
      <c r="B44" s="26" t="n"/>
      <c r="C44" s="26" t="n"/>
      <c r="D44" s="26" t="n"/>
      <c r="E44" s="27" t="n">
        <v>0.12</v>
      </c>
      <c r="F44" s="27" t="n">
        <v>0.122</v>
      </c>
      <c r="G44" s="27" t="n">
        <v>0.124</v>
      </c>
      <c r="H44" s="27" t="n">
        <v>0.125</v>
      </c>
      <c r="I44" s="27" t="n">
        <v>0.125</v>
      </c>
    </row>
    <row r="45">
      <c r="A45" s="25" t="inlineStr">
        <is>
          <t>D&amp;A (% of Revenue)</t>
        </is>
      </c>
      <c r="B45" s="26" t="n"/>
      <c r="C45" s="26" t="n"/>
      <c r="D45" s="26" t="n"/>
      <c r="E45" s="27" t="n">
        <v>0.028</v>
      </c>
      <c r="F45" s="27" t="n">
        <v>0.028</v>
      </c>
      <c r="G45" s="27" t="n">
        <v>0.028</v>
      </c>
      <c r="H45" s="27" t="n">
        <v>0.028</v>
      </c>
      <c r="I45" s="27" t="n">
        <v>0.028</v>
      </c>
    </row>
    <row r="46">
      <c r="A46" s="25" t="inlineStr">
        <is>
          <t>CapEx (% of Revenue)</t>
        </is>
      </c>
      <c r="B46" s="26" t="n"/>
      <c r="C46" s="26" t="n"/>
      <c r="D46" s="26" t="n"/>
      <c r="E46" s="27" t="n">
        <v>0.038</v>
      </c>
      <c r="F46" s="27" t="n">
        <v>0.037</v>
      </c>
      <c r="G46" s="27" t="n">
        <v>0.036</v>
      </c>
      <c r="H46" s="27" t="n">
        <v>0.035</v>
      </c>
      <c r="I46" s="27" t="n">
        <v>0.035</v>
      </c>
    </row>
    <row r="47">
      <c r="A47" s="25" t="inlineStr">
        <is>
          <t>NWC Change (% of ΔRev)</t>
        </is>
      </c>
      <c r="B47" s="26" t="n"/>
      <c r="C47" s="26" t="n"/>
      <c r="D47" s="26" t="n"/>
      <c r="E47" s="27" t="n">
        <v>0.015</v>
      </c>
      <c r="F47" s="27" t="n">
        <v>0.015</v>
      </c>
      <c r="G47" s="27" t="n">
        <v>0.015</v>
      </c>
      <c r="H47" s="27" t="n">
        <v>0.015</v>
      </c>
      <c r="I47" s="27" t="n">
        <v>0.015</v>
      </c>
    </row>
    <row r="48">
      <c r="A48" s="25" t="inlineStr">
        <is>
          <t>Terminal Growth Rate (g)</t>
        </is>
      </c>
      <c r="B48" s="26" t="n"/>
      <c r="C48" s="26" t="n"/>
      <c r="D48" s="26" t="n"/>
      <c r="E48" s="27" t="n">
        <v>0.025</v>
      </c>
      <c r="F48" s="27" t="n">
        <v>0.025</v>
      </c>
      <c r="G48" s="27" t="n">
        <v>0.025</v>
      </c>
      <c r="H48" s="27" t="n">
        <v>0.025</v>
      </c>
      <c r="I48" s="27" t="n">
        <v>0.025</v>
      </c>
    </row>
    <row r="49" ht="24" customHeight="1">
      <c r="A49" s="29" t="inlineStr">
        <is>
          <t>BULL CASE ASSUMPTIONS (Scenario 3 — High Growth / Specialty Expansion)</t>
        </is>
      </c>
      <c r="B49" s="29" t="n"/>
      <c r="C49" s="29" t="n"/>
      <c r="D49" s="29" t="n"/>
      <c r="E49" s="29" t="n"/>
      <c r="F49" s="29" t="n"/>
      <c r="G49" s="29" t="n"/>
      <c r="H49" s="29" t="n"/>
      <c r="I49" s="29" t="n"/>
    </row>
    <row r="50">
      <c r="A50" s="9" t="inlineStr">
        <is>
          <t>Assumption Metric</t>
        </is>
      </c>
      <c r="B50" s="10" t="inlineStr">
        <is>
          <t>FY2022</t>
        </is>
      </c>
      <c r="C50" s="10" t="inlineStr">
        <is>
          <t>FY2023</t>
        </is>
      </c>
      <c r="D50" s="10" t="inlineStr">
        <is>
          <t>FY2024A</t>
        </is>
      </c>
      <c r="E50" s="10" t="inlineStr">
        <is>
          <t>FY2025E</t>
        </is>
      </c>
      <c r="F50" s="10" t="inlineStr">
        <is>
          <t>FY2026E</t>
        </is>
      </c>
      <c r="G50" s="10" t="inlineStr">
        <is>
          <t>FY2027E</t>
        </is>
      </c>
      <c r="H50" s="10" t="inlineStr">
        <is>
          <t>FY2028E</t>
        </is>
      </c>
      <c r="I50" s="10" t="inlineStr">
        <is>
          <t>FY2029E</t>
        </is>
      </c>
    </row>
    <row r="51">
      <c r="A51" s="25" t="inlineStr">
        <is>
          <t>Revenue Growth Rate (%)</t>
        </is>
      </c>
      <c r="B51" s="26" t="n"/>
      <c r="C51" s="26" t="n"/>
      <c r="D51" s="26" t="n"/>
      <c r="E51" s="27" t="n">
        <v>0.05</v>
      </c>
      <c r="F51" s="27" t="n">
        <v>0.055</v>
      </c>
      <c r="G51" s="27" t="n">
        <v>0.06</v>
      </c>
      <c r="H51" s="27" t="n">
        <v>0.05</v>
      </c>
      <c r="I51" s="27" t="n">
        <v>0.04</v>
      </c>
    </row>
    <row r="52">
      <c r="A52" s="25" t="inlineStr">
        <is>
          <t>EBIT Margin (%)</t>
        </is>
      </c>
      <c r="B52" s="26" t="n"/>
      <c r="C52" s="26" t="n"/>
      <c r="D52" s="26" t="n"/>
      <c r="E52" s="27" t="n">
        <v>0.125</v>
      </c>
      <c r="F52" s="27" t="n">
        <v>0.128</v>
      </c>
      <c r="G52" s="27" t="n">
        <v>0.132</v>
      </c>
      <c r="H52" s="27" t="n">
        <v>0.135</v>
      </c>
      <c r="I52" s="27" t="n">
        <v>0.135</v>
      </c>
    </row>
    <row r="53">
      <c r="A53" s="25" t="inlineStr">
        <is>
          <t>D&amp;A (% of Revenue)</t>
        </is>
      </c>
      <c r="B53" s="26" t="n"/>
      <c r="C53" s="26" t="n"/>
      <c r="D53" s="26" t="n"/>
      <c r="E53" s="27" t="n">
        <v>0.028</v>
      </c>
      <c r="F53" s="27" t="n">
        <v>0.028</v>
      </c>
      <c r="G53" s="27" t="n">
        <v>0.028</v>
      </c>
      <c r="H53" s="27" t="n">
        <v>0.028</v>
      </c>
      <c r="I53" s="27" t="n">
        <v>0.028</v>
      </c>
    </row>
    <row r="54">
      <c r="A54" s="25" t="inlineStr">
        <is>
          <t>CapEx (% of Revenue)</t>
        </is>
      </c>
      <c r="B54" s="26" t="n"/>
      <c r="C54" s="26" t="n"/>
      <c r="D54" s="26" t="n"/>
      <c r="E54" s="27" t="n">
        <v>0.038</v>
      </c>
      <c r="F54" s="27" t="n">
        <v>0.036</v>
      </c>
      <c r="G54" s="27" t="n">
        <v>0.035</v>
      </c>
      <c r="H54" s="27" t="n">
        <v>0.034</v>
      </c>
      <c r="I54" s="27" t="n">
        <v>0.034</v>
      </c>
    </row>
    <row r="55">
      <c r="A55" s="25" t="inlineStr">
        <is>
          <t>NWC Change (% of ΔRev)</t>
        </is>
      </c>
      <c r="B55" s="26" t="n"/>
      <c r="C55" s="26" t="n"/>
      <c r="D55" s="26" t="n"/>
      <c r="E55" s="27" t="n">
        <v>0.015</v>
      </c>
      <c r="F55" s="27" t="n">
        <v>0.015</v>
      </c>
      <c r="G55" s="27" t="n">
        <v>0.015</v>
      </c>
      <c r="H55" s="27" t="n">
        <v>0.015</v>
      </c>
      <c r="I55" s="27" t="n">
        <v>0.015</v>
      </c>
    </row>
    <row r="56">
      <c r="A56" s="25" t="inlineStr">
        <is>
          <t>Terminal Growth Rate (g)</t>
        </is>
      </c>
      <c r="B56" s="26" t="n"/>
      <c r="C56" s="26" t="n"/>
      <c r="D56" s="26" t="n"/>
      <c r="E56" s="27" t="n">
        <v>0.03</v>
      </c>
      <c r="F56" s="27" t="n">
        <v>0.03</v>
      </c>
      <c r="G56" s="27" t="n">
        <v>0.03</v>
      </c>
      <c r="H56" s="27" t="n">
        <v>0.03</v>
      </c>
      <c r="I56" s="27" t="n">
        <v>0.03</v>
      </c>
    </row>
    <row r="57" ht="24" customHeight="1">
      <c r="A57" s="30" t="inlineStr">
        <is>
          <t>ACTIVE CONSOLIDATED ASSUMPTIONS (Dynamically Linked via Selector B5)</t>
        </is>
      </c>
      <c r="B57" s="30" t="n"/>
      <c r="C57" s="30" t="n"/>
      <c r="D57" s="30" t="n"/>
      <c r="E57" s="30" t="n"/>
      <c r="F57" s="30" t="n"/>
      <c r="G57" s="30" t="n"/>
      <c r="H57" s="30" t="n"/>
      <c r="I57" s="30" t="n"/>
    </row>
    <row r="58">
      <c r="A58" s="9" t="inlineStr">
        <is>
          <t>Assumption Metric</t>
        </is>
      </c>
      <c r="B58" s="10" t="inlineStr">
        <is>
          <t>FY2022</t>
        </is>
      </c>
      <c r="C58" s="10" t="inlineStr">
        <is>
          <t>FY2023</t>
        </is>
      </c>
      <c r="D58" s="10" t="inlineStr">
        <is>
          <t>FY2024A</t>
        </is>
      </c>
      <c r="E58" s="10" t="inlineStr">
        <is>
          <t>FY2025E</t>
        </is>
      </c>
      <c r="F58" s="10" t="inlineStr">
        <is>
          <t>FY2026E</t>
        </is>
      </c>
      <c r="G58" s="10" t="inlineStr">
        <is>
          <t>FY2027E</t>
        </is>
      </c>
      <c r="H58" s="10" t="inlineStr">
        <is>
          <t>FY2028E</t>
        </is>
      </c>
      <c r="I58" s="10" t="inlineStr">
        <is>
          <t>FY2029E</t>
        </is>
      </c>
    </row>
    <row r="59">
      <c r="A59" s="16" t="inlineStr">
        <is>
          <t>Revenue Growth Rate (%)</t>
        </is>
      </c>
      <c r="B59" s="31" t="n"/>
      <c r="C59" s="31" t="n"/>
      <c r="D59" s="31" t="n"/>
      <c r="E59" s="23">
        <f>IF($B$5=1,E35,IF($B$5=2,E43,E51))</f>
        <v/>
      </c>
      <c r="F59" s="23">
        <f>IF($B$5=1,F35,IF($B$5=2,F43,F51))</f>
        <v/>
      </c>
      <c r="G59" s="23">
        <f>IF($B$5=1,G35,IF($B$5=2,G43,G51))</f>
        <v/>
      </c>
      <c r="H59" s="23">
        <f>IF($B$5=1,H35,IF($B$5=2,H43,H51))</f>
        <v/>
      </c>
      <c r="I59" s="23">
        <f>IF($B$5=1,I35,IF($B$5=2,I43,I51))</f>
        <v/>
      </c>
    </row>
    <row r="60">
      <c r="A60" s="16" t="inlineStr">
        <is>
          <t>EBIT Margin (%)</t>
        </is>
      </c>
      <c r="B60" s="31" t="n"/>
      <c r="C60" s="31" t="n"/>
      <c r="D60" s="31" t="n"/>
      <c r="E60" s="23">
        <f>IF($B$5=1,E36,IF($B$5=2,E44,E52))</f>
        <v/>
      </c>
      <c r="F60" s="23">
        <f>IF($B$5=1,F36,IF($B$5=2,F44,F52))</f>
        <v/>
      </c>
      <c r="G60" s="23">
        <f>IF($B$5=1,G36,IF($B$5=2,G44,G52))</f>
        <v/>
      </c>
      <c r="H60" s="23">
        <f>IF($B$5=1,H36,IF($B$5=2,H44,H52))</f>
        <v/>
      </c>
      <c r="I60" s="23">
        <f>IF($B$5=1,I36,IF($B$5=2,I44,I52))</f>
        <v/>
      </c>
    </row>
    <row r="61">
      <c r="A61" s="16" t="inlineStr">
        <is>
          <t>D&amp;A (% of Revenue)</t>
        </is>
      </c>
      <c r="B61" s="31" t="n"/>
      <c r="C61" s="31" t="n"/>
      <c r="D61" s="31" t="n"/>
      <c r="E61" s="23">
        <f>IF($B$5=1,E37,IF($B$5=2,E45,E53))</f>
        <v/>
      </c>
      <c r="F61" s="23">
        <f>IF($B$5=1,F37,IF($B$5=2,F45,F53))</f>
        <v/>
      </c>
      <c r="G61" s="23">
        <f>IF($B$5=1,G37,IF($B$5=2,G45,G53))</f>
        <v/>
      </c>
      <c r="H61" s="23">
        <f>IF($B$5=1,H37,IF($B$5=2,H45,H53))</f>
        <v/>
      </c>
      <c r="I61" s="23">
        <f>IF($B$5=1,I37,IF($B$5=2,I45,I53))</f>
        <v/>
      </c>
    </row>
    <row r="62">
      <c r="A62" s="16" t="inlineStr">
        <is>
          <t>CapEx (% of Revenue)</t>
        </is>
      </c>
      <c r="B62" s="31" t="n"/>
      <c r="C62" s="31" t="n"/>
      <c r="D62" s="31" t="n"/>
      <c r="E62" s="23">
        <f>IF($B$5=1,E38,IF($B$5=2,E46,E54))</f>
        <v/>
      </c>
      <c r="F62" s="23">
        <f>IF($B$5=1,F38,IF($B$5=2,F46,F54))</f>
        <v/>
      </c>
      <c r="G62" s="23">
        <f>IF($B$5=1,G38,IF($B$5=2,G46,G54))</f>
        <v/>
      </c>
      <c r="H62" s="23">
        <f>IF($B$5=1,H38,IF($B$5=2,H46,H54))</f>
        <v/>
      </c>
      <c r="I62" s="23">
        <f>IF($B$5=1,I38,IF($B$5=2,I46,I54))</f>
        <v/>
      </c>
    </row>
    <row r="63">
      <c r="A63" s="16" t="inlineStr">
        <is>
          <t>NWC Change (% of ΔRev)</t>
        </is>
      </c>
      <c r="B63" s="31" t="n"/>
      <c r="C63" s="31" t="n"/>
      <c r="D63" s="31" t="n"/>
      <c r="E63" s="23">
        <f>IF($B$5=1,E39,IF($B$5=2,E47,E55))</f>
        <v/>
      </c>
      <c r="F63" s="23">
        <f>IF($B$5=1,F39,IF($B$5=2,F47,F55))</f>
        <v/>
      </c>
      <c r="G63" s="23">
        <f>IF($B$5=1,G39,IF($B$5=2,G47,G55))</f>
        <v/>
      </c>
      <c r="H63" s="23">
        <f>IF($B$5=1,H39,IF($B$5=2,H47,H55))</f>
        <v/>
      </c>
      <c r="I63" s="23">
        <f>IF($B$5=1,I39,IF($B$5=2,I47,I55))</f>
        <v/>
      </c>
    </row>
    <row r="64">
      <c r="A64" s="16" t="inlineStr">
        <is>
          <t>Terminal Growth Rate (g)</t>
        </is>
      </c>
      <c r="B64" s="31" t="n"/>
      <c r="C64" s="31" t="n"/>
      <c r="D64" s="31" t="n"/>
      <c r="E64" s="23">
        <f>IF($B$5=1,E40,IF($B$5=2,E48,E56))</f>
        <v/>
      </c>
      <c r="F64" s="23">
        <f>IF($B$5=1,F40,IF($B$5=2,F48,F56))</f>
        <v/>
      </c>
      <c r="G64" s="23">
        <f>IF($B$5=1,G40,IF($B$5=2,G48,G56))</f>
        <v/>
      </c>
      <c r="H64" s="23">
        <f>IF($B$5=1,H40,IF($B$5=2,H48,H56))</f>
        <v/>
      </c>
      <c r="I64" s="23">
        <f>IF($B$5=1,I40,IF($B$5=2,I48,I56))</f>
        <v/>
      </c>
    </row>
    <row r="66" ht="24" customHeight="1">
      <c r="A66" s="3" t="inlineStr">
        <is>
          <t>5. HISTORICAL FINANCIALS &amp; 5-YEAR PROJECTIONS ($M)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</row>
    <row r="67">
      <c r="A67" s="9" t="inlineStr">
        <is>
          <t>Assumption Metric</t>
        </is>
      </c>
      <c r="B67" s="10" t="inlineStr">
        <is>
          <t>FY2022</t>
        </is>
      </c>
      <c r="C67" s="10" t="inlineStr">
        <is>
          <t>FY2023</t>
        </is>
      </c>
      <c r="D67" s="10" t="inlineStr">
        <is>
          <t>FY2024A</t>
        </is>
      </c>
      <c r="E67" s="10" t="inlineStr">
        <is>
          <t>FY2025E</t>
        </is>
      </c>
      <c r="F67" s="10" t="inlineStr">
        <is>
          <t>FY2026E</t>
        </is>
      </c>
      <c r="G67" s="10" t="inlineStr">
        <is>
          <t>FY2027E</t>
        </is>
      </c>
      <c r="H67" s="10" t="inlineStr">
        <is>
          <t>FY2028E</t>
        </is>
      </c>
      <c r="I67" s="10" t="inlineStr">
        <is>
          <t>FY2029E</t>
        </is>
      </c>
    </row>
    <row r="68">
      <c r="A68" s="16" t="inlineStr">
        <is>
          <t>Net Sales (Revenue)</t>
        </is>
      </c>
      <c r="B68" s="17" t="n">
        <v>7946</v>
      </c>
      <c r="C68" s="17" t="n">
        <v>8160</v>
      </c>
      <c r="D68" s="17" t="n">
        <v>7430</v>
      </c>
      <c r="E68" s="17">
        <f>D68*(1+E59)</f>
        <v/>
      </c>
      <c r="F68" s="17">
        <f>E68*(1+F59)</f>
        <v/>
      </c>
      <c r="G68" s="17">
        <f>F68*(1+G59)</f>
        <v/>
      </c>
      <c r="H68" s="17">
        <f>G68*(1+H59)</f>
        <v/>
      </c>
      <c r="I68" s="17">
        <f>H68*(1+I59)</f>
        <v/>
      </c>
    </row>
    <row r="69">
      <c r="A69" s="32" t="inlineStr">
        <is>
          <t xml:space="preserve">  YoY Revenue Growth (%)</t>
        </is>
      </c>
      <c r="B69" s="33" t="n">
        <v>0.152</v>
      </c>
      <c r="C69" s="33">
        <f>(C68-B68)/B68</f>
        <v/>
      </c>
      <c r="D69" s="33">
        <f>(D68-C68)/C68</f>
        <v/>
      </c>
      <c r="E69" s="33">
        <f>(E68-D68)/D68</f>
        <v/>
      </c>
      <c r="F69" s="33">
        <f>(F68-E68)/E68</f>
        <v/>
      </c>
      <c r="G69" s="33">
        <f>(G68-F68)/F68</f>
        <v/>
      </c>
      <c r="H69" s="33">
        <f>(H68-G68)/G68</f>
        <v/>
      </c>
      <c r="I69" s="33">
        <f>(I68-H68)/H68</f>
        <v/>
      </c>
    </row>
    <row r="70">
      <c r="A70" s="11" t="inlineStr">
        <is>
          <t>Cost of Sales (COGS)</t>
        </is>
      </c>
      <c r="B70" s="34" t="n">
        <v>6452</v>
      </c>
      <c r="C70" s="34" t="n">
        <v>6411</v>
      </c>
      <c r="D70" s="34" t="n">
        <v>5639</v>
      </c>
      <c r="E70" s="34">
        <f>E68-E71</f>
        <v/>
      </c>
      <c r="F70" s="34">
        <f>F68-F71</f>
        <v/>
      </c>
      <c r="G70" s="34">
        <f>G68-G71</f>
        <v/>
      </c>
      <c r="H70" s="34">
        <f>H68-H71</f>
        <v/>
      </c>
      <c r="I70" s="34">
        <f>I68-I71</f>
        <v/>
      </c>
    </row>
    <row r="71">
      <c r="A71" s="16" t="inlineStr">
        <is>
          <t>Gross Profit</t>
        </is>
      </c>
      <c r="B71" s="17">
        <f>B68-B70</f>
        <v/>
      </c>
      <c r="C71" s="17">
        <f>C68-C70</f>
        <v/>
      </c>
      <c r="D71" s="17">
        <f>D68-D70</f>
        <v/>
      </c>
      <c r="E71" s="17">
        <f>E68*0.245</f>
        <v/>
      </c>
      <c r="F71" s="17">
        <f>F68*0.248</f>
        <v/>
      </c>
      <c r="G71" s="17">
        <f>G68*0.250</f>
        <v/>
      </c>
      <c r="H71" s="17">
        <f>H68*0.252</f>
        <v/>
      </c>
      <c r="I71" s="17">
        <f>I68*0.255</f>
        <v/>
      </c>
    </row>
    <row r="72">
      <c r="A72" s="32" t="inlineStr">
        <is>
          <t xml:space="preserve">  Gross Profit Margin (%)</t>
        </is>
      </c>
      <c r="B72" s="33">
        <f>B71/B68</f>
        <v/>
      </c>
      <c r="C72" s="33">
        <f>C71/C68</f>
        <v/>
      </c>
      <c r="D72" s="33">
        <f>D71/D68</f>
        <v/>
      </c>
      <c r="E72" s="33">
        <f>E71/E68</f>
        <v/>
      </c>
      <c r="F72" s="33">
        <f>F71/F68</f>
        <v/>
      </c>
      <c r="G72" s="33">
        <f>G71/G68</f>
        <v/>
      </c>
      <c r="H72" s="33">
        <f>H71/H68</f>
        <v/>
      </c>
      <c r="I72" s="33">
        <f>I71/I68</f>
        <v/>
      </c>
    </row>
    <row r="73">
      <c r="A73" s="16" t="inlineStr">
        <is>
          <t>Operating Income (EBIT)</t>
        </is>
      </c>
      <c r="B73" s="17" t="n">
        <v>762</v>
      </c>
      <c r="C73" s="17" t="n">
        <v>957</v>
      </c>
      <c r="D73" s="17" t="n">
        <v>883</v>
      </c>
      <c r="E73" s="17">
        <f>E68*E60</f>
        <v/>
      </c>
      <c r="F73" s="17">
        <f>F68*F60</f>
        <v/>
      </c>
      <c r="G73" s="17">
        <f>G68*G60</f>
        <v/>
      </c>
      <c r="H73" s="17">
        <f>H68*H60</f>
        <v/>
      </c>
      <c r="I73" s="17">
        <f>I68*I60</f>
        <v/>
      </c>
    </row>
    <row r="74">
      <c r="A74" s="32" t="inlineStr">
        <is>
          <t xml:space="preserve">  Operating EBIT Margin (%)</t>
        </is>
      </c>
      <c r="B74" s="33">
        <f>B73/B68</f>
        <v/>
      </c>
      <c r="C74" s="33">
        <f>C73/C68</f>
        <v/>
      </c>
      <c r="D74" s="33">
        <f>D73/D68</f>
        <v/>
      </c>
      <c r="E74" s="33">
        <f>E73/E68</f>
        <v/>
      </c>
      <c r="F74" s="33">
        <f>F73/F68</f>
        <v/>
      </c>
      <c r="G74" s="33">
        <f>G73/G68</f>
        <v/>
      </c>
      <c r="H74" s="33">
        <f>H73/H68</f>
        <v/>
      </c>
      <c r="I74" s="33">
        <f>I73/I68</f>
        <v/>
      </c>
    </row>
    <row r="75">
      <c r="A75" s="11" t="inlineStr">
        <is>
          <t>Less: Taxes on Operating Profit (t = 25.0%)</t>
        </is>
      </c>
      <c r="B75" s="34">
        <f>B73*$B$25</f>
        <v/>
      </c>
      <c r="C75" s="34">
        <f>C73*$B$25</f>
        <v/>
      </c>
      <c r="D75" s="34">
        <f>D73*$B$25</f>
        <v/>
      </c>
      <c r="E75" s="34">
        <f>E73*$B$25</f>
        <v/>
      </c>
      <c r="F75" s="34">
        <f>F73*$B$25</f>
        <v/>
      </c>
      <c r="G75" s="34">
        <f>G73*$B$25</f>
        <v/>
      </c>
      <c r="H75" s="34">
        <f>H73*$B$25</f>
        <v/>
      </c>
      <c r="I75" s="34">
        <f>I73*$B$25</f>
        <v/>
      </c>
    </row>
    <row r="76">
      <c r="A76" s="16" t="inlineStr">
        <is>
          <t>Net Operating Profit After Tax (NOPAT)</t>
        </is>
      </c>
      <c r="B76" s="17">
        <f>B73-B75</f>
        <v/>
      </c>
      <c r="C76" s="17">
        <f>C73-C75</f>
        <v/>
      </c>
      <c r="D76" s="17">
        <f>D73-D75</f>
        <v/>
      </c>
      <c r="E76" s="17">
        <f>E73-E75</f>
        <v/>
      </c>
      <c r="F76" s="17">
        <f>F73-F75</f>
        <v/>
      </c>
      <c r="G76" s="17">
        <f>G73-G75</f>
        <v/>
      </c>
      <c r="H76" s="17">
        <f>H73-H75</f>
        <v/>
      </c>
      <c r="I76" s="17">
        <f>I73-I75</f>
        <v/>
      </c>
    </row>
    <row r="77">
      <c r="A77" s="11" t="inlineStr">
        <is>
          <t>Plus: Depreciation &amp; Amortization (D&amp;A)</t>
        </is>
      </c>
      <c r="B77" s="34" t="n">
        <v>215</v>
      </c>
      <c r="C77" s="34" t="n">
        <v>219</v>
      </c>
      <c r="D77" s="34" t="n">
        <v>214</v>
      </c>
      <c r="E77" s="34">
        <f>E68*E61</f>
        <v/>
      </c>
      <c r="F77" s="34">
        <f>F68*F61</f>
        <v/>
      </c>
      <c r="G77" s="34">
        <f>G68*G61</f>
        <v/>
      </c>
      <c r="H77" s="34">
        <f>H68*H61</f>
        <v/>
      </c>
      <c r="I77" s="34">
        <f>I68*I61</f>
        <v/>
      </c>
    </row>
    <row r="78">
      <c r="A78" s="11" t="inlineStr">
        <is>
          <t>Less: Capital Expenditures (CapEx)</t>
        </is>
      </c>
      <c r="B78" s="34" t="n">
        <v>300</v>
      </c>
      <c r="C78" s="34" t="n">
        <v>316</v>
      </c>
      <c r="D78" s="34" t="n">
        <v>301</v>
      </c>
      <c r="E78" s="34">
        <f>E68*E62</f>
        <v/>
      </c>
      <c r="F78" s="34">
        <f>F68*F62</f>
        <v/>
      </c>
      <c r="G78" s="34">
        <f>G68*G62</f>
        <v/>
      </c>
      <c r="H78" s="34">
        <f>H68*H62</f>
        <v/>
      </c>
      <c r="I78" s="34">
        <f>I68*I62</f>
        <v/>
      </c>
    </row>
    <row r="79">
      <c r="A79" s="11" t="inlineStr">
        <is>
          <t>Less: Change in Net Working Capital (ΔNWC)</t>
        </is>
      </c>
      <c r="B79" s="34" t="n">
        <v>-42</v>
      </c>
      <c r="C79" s="34" t="n">
        <v>125</v>
      </c>
      <c r="D79" s="34" t="n">
        <v>35</v>
      </c>
      <c r="E79" s="34">
        <f>(E68-D68)*E63</f>
        <v/>
      </c>
      <c r="F79" s="34">
        <f>(F68-E68)*F63</f>
        <v/>
      </c>
      <c r="G79" s="34">
        <f>(G68-F68)*G63</f>
        <v/>
      </c>
      <c r="H79" s="34">
        <f>(H68-G68)*H63</f>
        <v/>
      </c>
      <c r="I79" s="34">
        <f>(I68-H68)*I63</f>
        <v/>
      </c>
    </row>
    <row r="80">
      <c r="A80" s="35" t="inlineStr">
        <is>
          <t>Unlevered Free Cash Flow (UFCF)</t>
        </is>
      </c>
      <c r="B80" s="36">
        <f>B76+B77-B78-B79</f>
        <v/>
      </c>
      <c r="C80" s="36">
        <f>C76+C77-C78-C79</f>
        <v/>
      </c>
      <c r="D80" s="36">
        <f>D76+D77-D78-D79</f>
        <v/>
      </c>
      <c r="E80" s="36">
        <f>E76+E77-E78-E79</f>
        <v/>
      </c>
      <c r="F80" s="36">
        <f>F76+F77-F78-F79</f>
        <v/>
      </c>
      <c r="G80" s="36">
        <f>G76+G77-G78-G79</f>
        <v/>
      </c>
      <c r="H80" s="36">
        <f>H76+H77-H78-H79</f>
        <v/>
      </c>
      <c r="I80" s="36">
        <f>I76+I77-I78-I79</f>
        <v/>
      </c>
    </row>
    <row r="82" ht="24" customHeight="1">
      <c r="A82" s="3" t="inlineStr">
        <is>
          <t>6. DCF VALUATION &amp; EQUITY VALUE BRIDGE</t>
        </is>
      </c>
      <c r="B82" s="3" t="n"/>
      <c r="C82" s="3" t="n"/>
      <c r="D82" s="3" t="n"/>
      <c r="E82" s="3" t="n"/>
      <c r="F82" s="3" t="n"/>
      <c r="G82" s="3" t="n"/>
      <c r="H82" s="3" t="n"/>
      <c r="I82" s="3" t="n"/>
    </row>
    <row r="83">
      <c r="A83" s="9" t="inlineStr">
        <is>
          <t>Valuation Metric / Schedule</t>
        </is>
      </c>
      <c r="E83" s="10" t="inlineStr">
        <is>
          <t>FY2025E</t>
        </is>
      </c>
      <c r="F83" s="10" t="inlineStr">
        <is>
          <t>FY2026E</t>
        </is>
      </c>
      <c r="G83" s="10" t="inlineStr">
        <is>
          <t>FY2027E</t>
        </is>
      </c>
      <c r="H83" s="10" t="inlineStr">
        <is>
          <t>FY2028E</t>
        </is>
      </c>
      <c r="I83" s="10" t="inlineStr">
        <is>
          <t>FY2029E</t>
        </is>
      </c>
    </row>
    <row r="84">
      <c r="A84" s="25" t="inlineStr">
        <is>
          <t>Discount Period (t - Mid-Year)</t>
        </is>
      </c>
      <c r="E84" s="37" t="n">
        <v>0.5</v>
      </c>
      <c r="F84" s="37" t="n">
        <v>1.5</v>
      </c>
      <c r="G84" s="37" t="n">
        <v>2.5</v>
      </c>
      <c r="H84" s="37" t="n">
        <v>3.5</v>
      </c>
      <c r="I84" s="37" t="n">
        <v>4.5</v>
      </c>
    </row>
    <row r="85">
      <c r="A85" s="25" t="inlineStr">
        <is>
          <t>Discount Factor [1 / (1 + WACC)^t]</t>
        </is>
      </c>
      <c r="E85" s="38">
        <f>1/(1+$B$29)^E84</f>
        <v/>
      </c>
      <c r="F85" s="38">
        <f>1/(1+$B$29)^F84</f>
        <v/>
      </c>
      <c r="G85" s="38">
        <f>1/(1+$B$29)^G84</f>
        <v/>
      </c>
      <c r="H85" s="38">
        <f>1/(1+$B$29)^H84</f>
        <v/>
      </c>
      <c r="I85" s="38">
        <f>1/(1+$B$29)^I84</f>
        <v/>
      </c>
    </row>
    <row r="86">
      <c r="A86" s="4" t="inlineStr">
        <is>
          <t>Present Value of UFCF (PV of FCF)</t>
        </is>
      </c>
      <c r="E86" s="39">
        <f>E80*E85</f>
        <v/>
      </c>
      <c r="F86" s="39">
        <f>F80*F85</f>
        <v/>
      </c>
      <c r="G86" s="39">
        <f>G80*G85</f>
        <v/>
      </c>
      <c r="H86" s="39">
        <f>H80*H85</f>
        <v/>
      </c>
      <c r="I86" s="39">
        <f>I80*I85</f>
        <v/>
      </c>
    </row>
    <row r="87">
      <c r="A87" s="9" t="inlineStr">
        <is>
          <t>Equity Bridge Component</t>
        </is>
      </c>
      <c r="B87" s="10" t="inlineStr">
        <is>
          <t>Amount ($M)</t>
        </is>
      </c>
      <c r="C87" s="10" t="inlineStr">
        <is>
          <t>Unit / Metric</t>
        </is>
      </c>
      <c r="D87" s="9" t="inlineStr">
        <is>
          <t>Formula Reference</t>
        </is>
      </c>
      <c r="E87" s="9" t="inlineStr">
        <is>
          <t>Notes &amp; Description</t>
        </is>
      </c>
    </row>
    <row r="88">
      <c r="A88" s="16" t="inlineStr">
        <is>
          <t>Cumulative PV of 5-Year Explicit FCFs</t>
        </is>
      </c>
      <c r="B88" s="17">
        <f>SUM(E86:I86)</f>
        <v/>
      </c>
      <c r="C88" s="13" t="inlineStr">
        <is>
          <t>$ Millions</t>
        </is>
      </c>
      <c r="D88" s="14" t="inlineStr">
        <is>
          <t>SUM(E86:I86)</t>
        </is>
      </c>
      <c r="E88" s="14" t="inlineStr">
        <is>
          <t>Sum of discounted cash flows (FY25E - FY29E)</t>
        </is>
      </c>
    </row>
    <row r="89">
      <c r="A89" s="11" t="inlineStr">
        <is>
          <t>Terminal Year Normalized FCF</t>
        </is>
      </c>
      <c r="B89" s="40">
        <f>I80*(1+E64)</f>
        <v/>
      </c>
      <c r="C89" s="13" t="inlineStr">
        <is>
          <t>$ Millions</t>
        </is>
      </c>
      <c r="D89" s="14" t="inlineStr">
        <is>
          <t>FY2029E FCF * (1 + g)</t>
        </is>
      </c>
      <c r="E89" s="14" t="inlineStr">
        <is>
          <t>Normalized ongoing cash flow at horizon</t>
        </is>
      </c>
    </row>
    <row r="90">
      <c r="A90" s="11" t="inlineStr">
        <is>
          <t>Terminal Value at Horizon (Perpetuity Growth)</t>
        </is>
      </c>
      <c r="B90" s="40">
        <f>B89/($B$29-E64)</f>
        <v/>
      </c>
      <c r="C90" s="13" t="inlineStr">
        <is>
          <t>$ Millions</t>
        </is>
      </c>
      <c r="D90" s="14" t="inlineStr">
        <is>
          <t>Terminal FCF / (WACC - g)</t>
        </is>
      </c>
      <c r="E90" s="14" t="inlineStr">
        <is>
          <t>Implied undiscounted terminal value</t>
        </is>
      </c>
    </row>
    <row r="91">
      <c r="A91" s="11" t="inlineStr">
        <is>
          <t>Terminal Value Discount Factor (Year 5)</t>
        </is>
      </c>
      <c r="B91" s="41">
        <f>1/(1+$B$29)^5</f>
        <v/>
      </c>
      <c r="C91" s="13" t="inlineStr">
        <is>
          <t>Multiple</t>
        </is>
      </c>
      <c r="D91" s="14" t="inlineStr">
        <is>
          <t>1 / (1 + WACC)^5</t>
        </is>
      </c>
      <c r="E91" s="14" t="inlineStr">
        <is>
          <t>Discount factor to PV at horizon</t>
        </is>
      </c>
    </row>
    <row r="92">
      <c r="A92" s="16" t="inlineStr">
        <is>
          <t>Present Value of Terminal Value (PV of TV)</t>
        </is>
      </c>
      <c r="B92" s="17">
        <f>B90*B91</f>
        <v/>
      </c>
      <c r="C92" s="13" t="inlineStr">
        <is>
          <t>$ Millions</t>
        </is>
      </c>
      <c r="D92" s="14" t="inlineStr">
        <is>
          <t>Terminal Value * TV Discount Factor</t>
        </is>
      </c>
      <c r="E92" s="14" t="inlineStr">
        <is>
          <t>Discounted terminal value</t>
        </is>
      </c>
    </row>
    <row r="93">
      <c r="A93" s="32" t="inlineStr">
        <is>
          <t>Terminal Value as % of Enterprise Value</t>
        </is>
      </c>
      <c r="B93" s="33">
        <f>B92/B94</f>
        <v/>
      </c>
      <c r="C93" s="13" t="inlineStr">
        <is>
          <t>%</t>
        </is>
      </c>
      <c r="D93" s="14" t="inlineStr">
        <is>
          <t>PV of TV / Enterprise Value</t>
        </is>
      </c>
      <c r="E93" s="14" t="inlineStr">
        <is>
          <t>Sanity check on terminal weighting (~60-80%)</t>
        </is>
      </c>
    </row>
    <row r="94">
      <c r="A94" s="42" t="inlineStr">
        <is>
          <t>Implied Enterprise Value (EV)</t>
        </is>
      </c>
      <c r="B94" s="43">
        <f>B88+B92</f>
        <v/>
      </c>
      <c r="C94" s="13" t="inlineStr">
        <is>
          <t>$ Millions</t>
        </is>
      </c>
      <c r="D94" s="14" t="inlineStr">
        <is>
          <t>PV of Explicit FCFs + PV of TV</t>
        </is>
      </c>
      <c r="E94" s="14" t="inlineStr">
        <is>
          <t>Total firm operating enterprise value</t>
        </is>
      </c>
    </row>
    <row r="95">
      <c r="A95" s="11" t="inlineStr">
        <is>
          <t>Less: Net Debt (Total Debt - Cash)</t>
        </is>
      </c>
      <c r="B95" s="40">
        <f>$B$15</f>
        <v/>
      </c>
      <c r="C95" s="13" t="inlineStr">
        <is>
          <t>$ Millions</t>
        </is>
      </c>
      <c r="D95" s="14" t="inlineStr">
        <is>
          <t>Balance Sheet Net Debt (Total Debt - Cash)</t>
        </is>
      </c>
      <c r="E95" s="14" t="inlineStr">
        <is>
          <t>Deduction for net debt obligations</t>
        </is>
      </c>
    </row>
    <row r="96">
      <c r="A96" s="42" t="inlineStr">
        <is>
          <t>Implied Equity Value</t>
        </is>
      </c>
      <c r="B96" s="43">
        <f>B94-B95</f>
        <v/>
      </c>
      <c r="C96" s="13" t="inlineStr">
        <is>
          <t>$ Millions</t>
        </is>
      </c>
      <c r="D96" s="14" t="inlineStr">
        <is>
          <t>Enterprise Value - Net Debt</t>
        </is>
      </c>
      <c r="E96" s="14" t="inlineStr">
        <is>
          <t>Value of equity attributable to common shareholders</t>
        </is>
      </c>
    </row>
    <row r="97">
      <c r="A97" s="11" t="inlineStr">
        <is>
          <t>Diluted Shares Outstanding (M)</t>
        </is>
      </c>
      <c r="B97" s="44">
        <f>$B$11</f>
        <v/>
      </c>
      <c r="C97" s="13" t="inlineStr">
        <is>
          <t>Million shares</t>
        </is>
      </c>
      <c r="D97" s="14" t="inlineStr">
        <is>
          <t>Diluted Share Count</t>
        </is>
      </c>
      <c r="E97" s="14" t="inlineStr">
        <is>
          <t>Diluted common share count</t>
        </is>
      </c>
    </row>
    <row r="98">
      <c r="A98" s="45" t="inlineStr">
        <is>
          <t>IMPLIED TARGET PRICE PER SHARE ($)</t>
        </is>
      </c>
      <c r="B98" s="46">
        <f>B96/B97</f>
        <v/>
      </c>
      <c r="C98" s="13" t="inlineStr">
        <is>
          <t>USD ($)</t>
        </is>
      </c>
      <c r="D98" s="14" t="inlineStr">
        <is>
          <t>Equity Value / Diluted Shares</t>
        </is>
      </c>
      <c r="E98" s="14" t="inlineStr">
        <is>
          <t>Primary Intrinsic Valuation Target</t>
        </is>
      </c>
    </row>
    <row r="99">
      <c r="A99" s="11" t="inlineStr">
        <is>
          <t>Current Market Share Price ($)</t>
        </is>
      </c>
      <c r="B99" s="47">
        <f>$B$10</f>
        <v/>
      </c>
      <c r="C99" s="13" t="inlineStr">
        <is>
          <t>USD ($)</t>
        </is>
      </c>
      <c r="D99" s="14" t="inlineStr">
        <is>
          <t>Current Market Quote</t>
        </is>
      </c>
      <c r="E99" s="14" t="inlineStr">
        <is>
          <t>Current NYSE market price</t>
        </is>
      </c>
    </row>
    <row r="100">
      <c r="A100" s="48" t="inlineStr">
        <is>
          <t>Implied Upside / (Downside) (%)</t>
        </is>
      </c>
      <c r="B100" s="49">
        <f>(B98-B99)/B99</f>
        <v/>
      </c>
      <c r="C100" s="13" t="inlineStr">
        <is>
          <t>%</t>
        </is>
      </c>
      <c r="D100" s="14" t="inlineStr">
        <is>
          <t>(Target Price - Current Price) / Current Price</t>
        </is>
      </c>
      <c r="E100" s="14" t="inlineStr">
        <is>
          <t>Estimated total capital return potential</t>
        </is>
      </c>
    </row>
    <row r="102" ht="24" customHeight="1">
      <c r="A102" s="3" t="inlineStr">
        <is>
          <t>7. VALUATION SENSITIVITY ANALYSIS (3 INSTITUTIONAL 5x5 GRIDS)</t>
        </is>
      </c>
      <c r="B102" s="3" t="n"/>
      <c r="C102" s="3" t="n"/>
      <c r="D102" s="3" t="n"/>
      <c r="E102" s="3" t="n"/>
      <c r="F102" s="3" t="n"/>
      <c r="G102" s="3" t="n"/>
      <c r="H102" s="3" t="n"/>
      <c r="I102" s="3" t="n"/>
    </row>
    <row r="103" ht="24" customHeight="1">
      <c r="A103" s="28" t="inlineStr">
        <is>
          <t>TABLE 1: IMPLIED SHARE PRICE ($) — WACC vs. TERMINAL PERPETUITY GROWTH (g)</t>
        </is>
      </c>
      <c r="B103" s="28" t="n"/>
      <c r="C103" s="28" t="n"/>
      <c r="D103" s="28" t="n"/>
      <c r="E103" s="28" t="n"/>
      <c r="F103" s="28" t="n"/>
      <c r="G103" s="28" t="n"/>
    </row>
    <row r="104">
      <c r="B104" s="50" t="inlineStr">
        <is>
          <t>WACC \ g</t>
        </is>
      </c>
      <c r="C104" s="51">
        <f>$E$64-0.010</f>
        <v/>
      </c>
      <c r="D104" s="51">
        <f>$E$64-0.005</f>
        <v/>
      </c>
      <c r="E104" s="52">
        <f>$E$64</f>
        <v/>
      </c>
      <c r="F104" s="51">
        <f>$E$64+0.005</f>
        <v/>
      </c>
      <c r="G104" s="51">
        <f>$E$64+0.010</f>
        <v/>
      </c>
    </row>
    <row r="105">
      <c r="B105" s="51">
        <f>$B$29-0.010</f>
        <v/>
      </c>
      <c r="C105" s="47">
        <f>(( $E$80/(1+$B105)^0.5 + $F$80/(1+$B105)^1.5 + $G$80/(1+$B105)^2.5 + $H$80/(1+$B105)^3.5 + $I$80/(1+$B105)^4.5 ) + (($I$80*(1+C$104))/($B105-C$104))/(1+$B105)^5 - $B$15) / $B$11</f>
        <v/>
      </c>
      <c r="D105" s="47">
        <f>(( $E$80/(1+$B105)^0.5 + $F$80/(1+$B105)^1.5 + $G$80/(1+$B105)^2.5 + $H$80/(1+$B105)^3.5 + $I$80/(1+$B105)^4.5 ) + (($I$80*(1+D$104))/($B105-D$104))/(1+$B105)^5 - $B$15) / $B$11</f>
        <v/>
      </c>
      <c r="E105" s="47">
        <f>(( $E$80/(1+$B105)^0.5 + $F$80/(1+$B105)^1.5 + $G$80/(1+$B105)^2.5 + $H$80/(1+$B105)^3.5 + $I$80/(1+$B105)^4.5 ) + (($I$80*(1+E$104))/($B105-E$104))/(1+$B105)^5 - $B$15) / $B$11</f>
        <v/>
      </c>
      <c r="F105" s="47">
        <f>(( $E$80/(1+$B105)^0.5 + $F$80/(1+$B105)^1.5 + $G$80/(1+$B105)^2.5 + $H$80/(1+$B105)^3.5 + $I$80/(1+$B105)^4.5 ) + (($I$80*(1+F$104))/($B105-F$104))/(1+$B105)^5 - $B$15) / $B$11</f>
        <v/>
      </c>
      <c r="G105" s="47">
        <f>(( $E$80/(1+$B105)^0.5 + $F$80/(1+$B105)^1.5 + $G$80/(1+$B105)^2.5 + $H$80/(1+$B105)^3.5 + $I$80/(1+$B105)^4.5 ) + (($I$80*(1+G$104))/($B105-G$104))/(1+$B105)^5 - $B$15) / $B$11</f>
        <v/>
      </c>
    </row>
    <row r="106">
      <c r="B106" s="51">
        <f>$B$29-0.005</f>
        <v/>
      </c>
      <c r="C106" s="47">
        <f>(( $E$80/(1+$B106)^0.5 + $F$80/(1+$B106)^1.5 + $G$80/(1+$B106)^2.5 + $H$80/(1+$B106)^3.5 + $I$80/(1+$B106)^4.5 ) + (($I$80*(1+C$104))/($B106-C$104))/(1+$B106)^5 - $B$15) / $B$11</f>
        <v/>
      </c>
      <c r="D106" s="47">
        <f>(( $E$80/(1+$B106)^0.5 + $F$80/(1+$B106)^1.5 + $G$80/(1+$B106)^2.5 + $H$80/(1+$B106)^3.5 + $I$80/(1+$B106)^4.5 ) + (($I$80*(1+D$104))/($B106-D$104))/(1+$B106)^5 - $B$15) / $B$11</f>
        <v/>
      </c>
      <c r="E106" s="47">
        <f>(( $E$80/(1+$B106)^0.5 + $F$80/(1+$B106)^1.5 + $G$80/(1+$B106)^2.5 + $H$80/(1+$B106)^3.5 + $I$80/(1+$B106)^4.5 ) + (($I$80*(1+E$104))/($B106-E$104))/(1+$B106)^5 - $B$15) / $B$11</f>
        <v/>
      </c>
      <c r="F106" s="47">
        <f>(( $E$80/(1+$B106)^0.5 + $F$80/(1+$B106)^1.5 + $G$80/(1+$B106)^2.5 + $H$80/(1+$B106)^3.5 + $I$80/(1+$B106)^4.5 ) + (($I$80*(1+F$104))/($B106-F$104))/(1+$B106)^5 - $B$15) / $B$11</f>
        <v/>
      </c>
      <c r="G106" s="47">
        <f>(( $E$80/(1+$B106)^0.5 + $F$80/(1+$B106)^1.5 + $G$80/(1+$B106)^2.5 + $H$80/(1+$B106)^3.5 + $I$80/(1+$B106)^4.5 ) + (($I$80*(1+G$104))/($B106-G$104))/(1+$B106)^5 - $B$15) / $B$11</f>
        <v/>
      </c>
    </row>
    <row r="107">
      <c r="B107" s="52">
        <f>$B$29</f>
        <v/>
      </c>
      <c r="C107" s="47">
        <f>(( $E$80/(1+$B107)^0.5 + $F$80/(1+$B107)^1.5 + $G$80/(1+$B107)^2.5 + $H$80/(1+$B107)^3.5 + $I$80/(1+$B107)^4.5 ) + (($I$80*(1+C$104))/($B107-C$104))/(1+$B107)^5 - $B$15) / $B$11</f>
        <v/>
      </c>
      <c r="D107" s="47">
        <f>(( $E$80/(1+$B107)^0.5 + $F$80/(1+$B107)^1.5 + $G$80/(1+$B107)^2.5 + $H$80/(1+$B107)^3.5 + $I$80/(1+$B107)^4.5 ) + (($I$80*(1+D$104))/($B107-D$104))/(1+$B107)^5 - $B$15) / $B$11</f>
        <v/>
      </c>
      <c r="E107" s="53">
        <f>(( $E$80/(1+$B107)^0.5 + $F$80/(1+$B107)^1.5 + $G$80/(1+$B107)^2.5 + $H$80/(1+$B107)^3.5 + $I$80/(1+$B107)^4.5 ) + (($I$80*(1+E$104))/($B107-E$104))/(1+$B107)^5 - $B$15) / $B$11</f>
        <v/>
      </c>
      <c r="F107" s="47">
        <f>(( $E$80/(1+$B107)^0.5 + $F$80/(1+$B107)^1.5 + $G$80/(1+$B107)^2.5 + $H$80/(1+$B107)^3.5 + $I$80/(1+$B107)^4.5 ) + (($I$80*(1+F$104))/($B107-F$104))/(1+$B107)^5 - $B$15) / $B$11</f>
        <v/>
      </c>
      <c r="G107" s="47">
        <f>(( $E$80/(1+$B107)^0.5 + $F$80/(1+$B107)^1.5 + $G$80/(1+$B107)^2.5 + $H$80/(1+$B107)^3.5 + $I$80/(1+$B107)^4.5 ) + (($I$80*(1+G$104))/($B107-G$104))/(1+$B107)^5 - $B$15) / $B$11</f>
        <v/>
      </c>
    </row>
    <row r="108">
      <c r="B108" s="51">
        <f>$B$29+0.005</f>
        <v/>
      </c>
      <c r="C108" s="47">
        <f>(( $E$80/(1+$B108)^0.5 + $F$80/(1+$B108)^1.5 + $G$80/(1+$B108)^2.5 + $H$80/(1+$B108)^3.5 + $I$80/(1+$B108)^4.5 ) + (($I$80*(1+C$104))/($B108-C$104))/(1+$B108)^5 - $B$15) / $B$11</f>
        <v/>
      </c>
      <c r="D108" s="47">
        <f>(( $E$80/(1+$B108)^0.5 + $F$80/(1+$B108)^1.5 + $G$80/(1+$B108)^2.5 + $H$80/(1+$B108)^3.5 + $I$80/(1+$B108)^4.5 ) + (($I$80*(1+D$104))/($B108-D$104))/(1+$B108)^5 - $B$15) / $B$11</f>
        <v/>
      </c>
      <c r="E108" s="47">
        <f>(( $E$80/(1+$B108)^0.5 + $F$80/(1+$B108)^1.5 + $G$80/(1+$B108)^2.5 + $H$80/(1+$B108)^3.5 + $I$80/(1+$B108)^4.5 ) + (($I$80*(1+E$104))/($B108-E$104))/(1+$B108)^5 - $B$15) / $B$11</f>
        <v/>
      </c>
      <c r="F108" s="47">
        <f>(( $E$80/(1+$B108)^0.5 + $F$80/(1+$B108)^1.5 + $G$80/(1+$B108)^2.5 + $H$80/(1+$B108)^3.5 + $I$80/(1+$B108)^4.5 ) + (($I$80*(1+F$104))/($B108-F$104))/(1+$B108)^5 - $B$15) / $B$11</f>
        <v/>
      </c>
      <c r="G108" s="47">
        <f>(( $E$80/(1+$B108)^0.5 + $F$80/(1+$B108)^1.5 + $G$80/(1+$B108)^2.5 + $H$80/(1+$B108)^3.5 + $I$80/(1+$B108)^4.5 ) + (($I$80*(1+G$104))/($B108-G$104))/(1+$B108)^5 - $B$15) / $B$11</f>
        <v/>
      </c>
    </row>
    <row r="109">
      <c r="B109" s="51">
        <f>$B$29+0.010</f>
        <v/>
      </c>
      <c r="C109" s="47">
        <f>(( $E$80/(1+$B109)^0.5 + $F$80/(1+$B109)^1.5 + $G$80/(1+$B109)^2.5 + $H$80/(1+$B109)^3.5 + $I$80/(1+$B109)^4.5 ) + (($I$80*(1+C$104))/($B109-C$104))/(1+$B109)^5 - $B$15) / $B$11</f>
        <v/>
      </c>
      <c r="D109" s="47">
        <f>(( $E$80/(1+$B109)^0.5 + $F$80/(1+$B109)^1.5 + $G$80/(1+$B109)^2.5 + $H$80/(1+$B109)^3.5 + $I$80/(1+$B109)^4.5 ) + (($I$80*(1+D$104))/($B109-D$104))/(1+$B109)^5 - $B$15) / $B$11</f>
        <v/>
      </c>
      <c r="E109" s="47">
        <f>(( $E$80/(1+$B109)^0.5 + $F$80/(1+$B109)^1.5 + $G$80/(1+$B109)^2.5 + $H$80/(1+$B109)^3.5 + $I$80/(1+$B109)^4.5 ) + (($I$80*(1+E$104))/($B109-E$104))/(1+$B109)^5 - $B$15) / $B$11</f>
        <v/>
      </c>
      <c r="F109" s="47">
        <f>(( $E$80/(1+$B109)^0.5 + $F$80/(1+$B109)^1.5 + $G$80/(1+$B109)^2.5 + $H$80/(1+$B109)^3.5 + $I$80/(1+$B109)^4.5 ) + (($I$80*(1+F$104))/($B109-F$104))/(1+$B109)^5 - $B$15) / $B$11</f>
        <v/>
      </c>
      <c r="G109" s="47">
        <f>(( $E$80/(1+$B109)^0.5 + $F$80/(1+$B109)^1.5 + $G$80/(1+$B109)^2.5 + $H$80/(1+$B109)^3.5 + $I$80/(1+$B109)^4.5 ) + (($I$80*(1+G$104))/($B109-G$104))/(1+$B109)^5 - $B$15) / $B$11</f>
        <v/>
      </c>
    </row>
    <row r="112" ht="24" customHeight="1">
      <c r="A112" s="28" t="inlineStr">
        <is>
          <t>TABLE 2: IMPLIED SHARE PRICE ($) — REVENUE GROWTH DELTA vs. EBIT MARGIN DELTA</t>
        </is>
      </c>
      <c r="B112" s="28" t="n"/>
      <c r="C112" s="28" t="n"/>
      <c r="D112" s="28" t="n"/>
      <c r="E112" s="28" t="n"/>
      <c r="F112" s="28" t="n"/>
      <c r="G112" s="28" t="n"/>
    </row>
    <row r="113">
      <c r="B113" s="50" t="inlineStr">
        <is>
          <t>Margin Δ \ Rev Δ</t>
        </is>
      </c>
      <c r="C113" s="54" t="n">
        <v>-0.02</v>
      </c>
      <c r="D113" s="54" t="n">
        <v>-0.01</v>
      </c>
      <c r="E113" s="55" t="n">
        <v>0</v>
      </c>
      <c r="F113" s="54" t="n">
        <v>0.01</v>
      </c>
      <c r="G113" s="54" t="n">
        <v>0.02</v>
      </c>
    </row>
    <row r="114">
      <c r="B114" s="54" t="n">
        <v>-0.02</v>
      </c>
      <c r="C114" s="47">
        <f>(( ($E$76*(1+C$113)*(1+$B114/$E$60) + $E$77*(1+C$113) - $E$78*(1+C$113) - $E$79*(1+C$113))/(1+$B$29)^0.5 + ($F$76*(1+C$113)^2*(1+$B114/$F$60) + $F$77*(1+C$113)^2 - $F$78*(1+C$113)^2 - $F$79*(1+C$113))/(1+$B$29)^1.5 + ($G$76*(1+C$113)^3*(1+$B114/$G$60) + $G$77*(1+C$113)^3 - $G$78*(1+C$113)^3 - $G$79*(1+C$113))/(1+$B$29)^2.5 + ($H$76*(1+C$113)^4*(1+$B114/$H$60) + $H$77*(1+C$113)^4 - $H$78*(1+C$113)^4 - $H$79*(1+C$113))/(1+$B$29)^3.5 + ($I$76*(1+C$113)^5*(1+$B114/$I$60) + $I$77*(1+C$113)^5 - $I$78*(1+C$113)^5 - $I$79*(1+C$113))/(1+$B$29)^4.5 ) + ( (($I$76*(1+C$113)^5*(1+$B114/$I$60) + $I$77*(1+C$113)^5 - $I$78*(1+C$113)^5 - $I$79*(1+C$113))*(1+$E$64))/($B$29-$E$64) )/(1+$B$29)^5 - $B$15) / $B$11</f>
        <v/>
      </c>
      <c r="D114" s="47">
        <f>(( ($E$76*(1+D$113)*(1+$B114/$E$60) + $E$77*(1+D$113) - $E$78*(1+D$113) - $E$79*(1+D$113))/(1+$B$29)^0.5 + ($F$76*(1+D$113)^2*(1+$B114/$F$60) + $F$77*(1+D$113)^2 - $F$78*(1+D$113)^2 - $F$79*(1+D$113))/(1+$B$29)^1.5 + ($G$76*(1+D$113)^3*(1+$B114/$G$60) + $G$77*(1+D$113)^3 - $G$78*(1+D$113)^3 - $G$79*(1+D$113))/(1+$B$29)^2.5 + ($H$76*(1+D$113)^4*(1+$B114/$H$60) + $H$77*(1+D$113)^4 - $H$78*(1+D$113)^4 - $H$79*(1+D$113))/(1+$B$29)^3.5 + ($I$76*(1+D$113)^5*(1+$B114/$I$60) + $I$77*(1+D$113)^5 - $I$78*(1+D$113)^5 - $I$79*(1+D$113))/(1+$B$29)^4.5 ) + ( (($I$76*(1+D$113)^5*(1+$B114/$I$60) + $I$77*(1+D$113)^5 - $I$78*(1+D$113)^5 - $I$79*(1+D$113))*(1+$E$64))/($B$29-$E$64) )/(1+$B$29)^5 - $B$15) / $B$11</f>
        <v/>
      </c>
      <c r="E114" s="47">
        <f>(( ($E$76*(1+E$113)*(1+$B114/$E$60) + $E$77*(1+E$113) - $E$78*(1+E$113) - $E$79*(1+E$113))/(1+$B$29)^0.5 + ($F$76*(1+E$113)^2*(1+$B114/$F$60) + $F$77*(1+E$113)^2 - $F$78*(1+E$113)^2 - $F$79*(1+E$113))/(1+$B$29)^1.5 + ($G$76*(1+E$113)^3*(1+$B114/$G$60) + $G$77*(1+E$113)^3 - $G$78*(1+E$113)^3 - $G$79*(1+E$113))/(1+$B$29)^2.5 + ($H$76*(1+E$113)^4*(1+$B114/$H$60) + $H$77*(1+E$113)^4 - $H$78*(1+E$113)^4 - $H$79*(1+E$113))/(1+$B$29)^3.5 + ($I$76*(1+E$113)^5*(1+$B114/$I$60) + $I$77*(1+E$113)^5 - $I$78*(1+E$113)^5 - $I$79*(1+E$113))/(1+$B$29)^4.5 ) + ( (($I$76*(1+E$113)^5*(1+$B114/$I$60) + $I$77*(1+E$113)^5 - $I$78*(1+E$113)^5 - $I$79*(1+E$113))*(1+$E$64))/($B$29-$E$64) )/(1+$B$29)^5 - $B$15) / $B$11</f>
        <v/>
      </c>
      <c r="F114" s="47">
        <f>(( ($E$76*(1+F$113)*(1+$B114/$E$60) + $E$77*(1+F$113) - $E$78*(1+F$113) - $E$79*(1+F$113))/(1+$B$29)^0.5 + ($F$76*(1+F$113)^2*(1+$B114/$F$60) + $F$77*(1+F$113)^2 - $F$78*(1+F$113)^2 - $F$79*(1+F$113))/(1+$B$29)^1.5 + ($G$76*(1+F$113)^3*(1+$B114/$G$60) + $G$77*(1+F$113)^3 - $G$78*(1+F$113)^3 - $G$79*(1+F$113))/(1+$B$29)^2.5 + ($H$76*(1+F$113)^4*(1+$B114/$H$60) + $H$77*(1+F$113)^4 - $H$78*(1+F$113)^4 - $H$79*(1+F$113))/(1+$B$29)^3.5 + ($I$76*(1+F$113)^5*(1+$B114/$I$60) + $I$77*(1+F$113)^5 - $I$78*(1+F$113)^5 - $I$79*(1+F$113))/(1+$B$29)^4.5 ) + ( (($I$76*(1+F$113)^5*(1+$B114/$I$60) + $I$77*(1+F$113)^5 - $I$78*(1+F$113)^5 - $I$79*(1+F$113))*(1+$E$64))/($B$29-$E$64) )/(1+$B$29)^5 - $B$15) / $B$11</f>
        <v/>
      </c>
      <c r="G114" s="47">
        <f>(( ($E$76*(1+G$113)*(1+$B114/$E$60) + $E$77*(1+G$113) - $E$78*(1+G$113) - $E$79*(1+G$113))/(1+$B$29)^0.5 + ($F$76*(1+G$113)^2*(1+$B114/$F$60) + $F$77*(1+G$113)^2 - $F$78*(1+G$113)^2 - $F$79*(1+G$113))/(1+$B$29)^1.5 + ($G$76*(1+G$113)^3*(1+$B114/$G$60) + $G$77*(1+G$113)^3 - $G$78*(1+G$113)^3 - $G$79*(1+G$113))/(1+$B$29)^2.5 + ($H$76*(1+G$113)^4*(1+$B114/$H$60) + $H$77*(1+G$113)^4 - $H$78*(1+G$113)^4 - $H$79*(1+G$113))/(1+$B$29)^3.5 + ($I$76*(1+G$113)^5*(1+$B114/$I$60) + $I$77*(1+G$113)^5 - $I$78*(1+G$113)^5 - $I$79*(1+G$113))/(1+$B$29)^4.5 ) + ( (($I$76*(1+G$113)^5*(1+$B114/$I$60) + $I$77*(1+G$113)^5 - $I$78*(1+G$113)^5 - $I$79*(1+G$113))*(1+$E$64))/($B$29-$E$64) )/(1+$B$29)^5 - $B$15) / $B$11</f>
        <v/>
      </c>
    </row>
    <row r="115">
      <c r="B115" s="54" t="n">
        <v>-0.01</v>
      </c>
      <c r="C115" s="47">
        <f>(( ($E$76*(1+C$113)*(1+$B115/$E$60) + $E$77*(1+C$113) - $E$78*(1+C$113) - $E$79*(1+C$113))/(1+$B$29)^0.5 + ($F$76*(1+C$113)^2*(1+$B115/$F$60) + $F$77*(1+C$113)^2 - $F$78*(1+C$113)^2 - $F$79*(1+C$113))/(1+$B$29)^1.5 + ($G$76*(1+C$113)^3*(1+$B115/$G$60) + $G$77*(1+C$113)^3 - $G$78*(1+C$113)^3 - $G$79*(1+C$113))/(1+$B$29)^2.5 + ($H$76*(1+C$113)^4*(1+$B115/$H$60) + $H$77*(1+C$113)^4 - $H$78*(1+C$113)^4 - $H$79*(1+C$113))/(1+$B$29)^3.5 + ($I$76*(1+C$113)^5*(1+$B115/$I$60) + $I$77*(1+C$113)^5 - $I$78*(1+C$113)^5 - $I$79*(1+C$113))/(1+$B$29)^4.5 ) + ( (($I$76*(1+C$113)^5*(1+$B115/$I$60) + $I$77*(1+C$113)^5 - $I$78*(1+C$113)^5 - $I$79*(1+C$113))*(1+$E$64))/($B$29-$E$64) )/(1+$B$29)^5 - $B$15) / $B$11</f>
        <v/>
      </c>
      <c r="D115" s="47">
        <f>(( ($E$76*(1+D$113)*(1+$B115/$E$60) + $E$77*(1+D$113) - $E$78*(1+D$113) - $E$79*(1+D$113))/(1+$B$29)^0.5 + ($F$76*(1+D$113)^2*(1+$B115/$F$60) + $F$77*(1+D$113)^2 - $F$78*(1+D$113)^2 - $F$79*(1+D$113))/(1+$B$29)^1.5 + ($G$76*(1+D$113)^3*(1+$B115/$G$60) + $G$77*(1+D$113)^3 - $G$78*(1+D$113)^3 - $G$79*(1+D$113))/(1+$B$29)^2.5 + ($H$76*(1+D$113)^4*(1+$B115/$H$60) + $H$77*(1+D$113)^4 - $H$78*(1+D$113)^4 - $H$79*(1+D$113))/(1+$B$29)^3.5 + ($I$76*(1+D$113)^5*(1+$B115/$I$60) + $I$77*(1+D$113)^5 - $I$78*(1+D$113)^5 - $I$79*(1+D$113))/(1+$B$29)^4.5 ) + ( (($I$76*(1+D$113)^5*(1+$B115/$I$60) + $I$77*(1+D$113)^5 - $I$78*(1+D$113)^5 - $I$79*(1+D$113))*(1+$E$64))/($B$29-$E$64) )/(1+$B$29)^5 - $B$15) / $B$11</f>
        <v/>
      </c>
      <c r="E115" s="47">
        <f>(( ($E$76*(1+E$113)*(1+$B115/$E$60) + $E$77*(1+E$113) - $E$78*(1+E$113) - $E$79*(1+E$113))/(1+$B$29)^0.5 + ($F$76*(1+E$113)^2*(1+$B115/$F$60) + $F$77*(1+E$113)^2 - $F$78*(1+E$113)^2 - $F$79*(1+E$113))/(1+$B$29)^1.5 + ($G$76*(1+E$113)^3*(1+$B115/$G$60) + $G$77*(1+E$113)^3 - $G$78*(1+E$113)^3 - $G$79*(1+E$113))/(1+$B$29)^2.5 + ($H$76*(1+E$113)^4*(1+$B115/$H$60) + $H$77*(1+E$113)^4 - $H$78*(1+E$113)^4 - $H$79*(1+E$113))/(1+$B$29)^3.5 + ($I$76*(1+E$113)^5*(1+$B115/$I$60) + $I$77*(1+E$113)^5 - $I$78*(1+E$113)^5 - $I$79*(1+E$113))/(1+$B$29)^4.5 ) + ( (($I$76*(1+E$113)^5*(1+$B115/$I$60) + $I$77*(1+E$113)^5 - $I$78*(1+E$113)^5 - $I$79*(1+E$113))*(1+$E$64))/($B$29-$E$64) )/(1+$B$29)^5 - $B$15) / $B$11</f>
        <v/>
      </c>
      <c r="F115" s="47">
        <f>(( ($E$76*(1+F$113)*(1+$B115/$E$60) + $E$77*(1+F$113) - $E$78*(1+F$113) - $E$79*(1+F$113))/(1+$B$29)^0.5 + ($F$76*(1+F$113)^2*(1+$B115/$F$60) + $F$77*(1+F$113)^2 - $F$78*(1+F$113)^2 - $F$79*(1+F$113))/(1+$B$29)^1.5 + ($G$76*(1+F$113)^3*(1+$B115/$G$60) + $G$77*(1+F$113)^3 - $G$78*(1+F$113)^3 - $G$79*(1+F$113))/(1+$B$29)^2.5 + ($H$76*(1+F$113)^4*(1+$B115/$H$60) + $H$77*(1+F$113)^4 - $H$78*(1+F$113)^4 - $H$79*(1+F$113))/(1+$B$29)^3.5 + ($I$76*(1+F$113)^5*(1+$B115/$I$60) + $I$77*(1+F$113)^5 - $I$78*(1+F$113)^5 - $I$79*(1+F$113))/(1+$B$29)^4.5 ) + ( (($I$76*(1+F$113)^5*(1+$B115/$I$60) + $I$77*(1+F$113)^5 - $I$78*(1+F$113)^5 - $I$79*(1+F$113))*(1+$E$64))/($B$29-$E$64) )/(1+$B$29)^5 - $B$15) / $B$11</f>
        <v/>
      </c>
      <c r="G115" s="47">
        <f>(( ($E$76*(1+G$113)*(1+$B115/$E$60) + $E$77*(1+G$113) - $E$78*(1+G$113) - $E$79*(1+G$113))/(1+$B$29)^0.5 + ($F$76*(1+G$113)^2*(1+$B115/$F$60) + $F$77*(1+G$113)^2 - $F$78*(1+G$113)^2 - $F$79*(1+G$113))/(1+$B$29)^1.5 + ($G$76*(1+G$113)^3*(1+$B115/$G$60) + $G$77*(1+G$113)^3 - $G$78*(1+G$113)^3 - $G$79*(1+G$113))/(1+$B$29)^2.5 + ($H$76*(1+G$113)^4*(1+$B115/$H$60) + $H$77*(1+G$113)^4 - $H$78*(1+G$113)^4 - $H$79*(1+G$113))/(1+$B$29)^3.5 + ($I$76*(1+G$113)^5*(1+$B115/$I$60) + $I$77*(1+G$113)^5 - $I$78*(1+G$113)^5 - $I$79*(1+G$113))/(1+$B$29)^4.5 ) + ( (($I$76*(1+G$113)^5*(1+$B115/$I$60) + $I$77*(1+G$113)^5 - $I$78*(1+G$113)^5 - $I$79*(1+G$113))*(1+$E$64))/($B$29-$E$64) )/(1+$B$29)^5 - $B$15) / $B$11</f>
        <v/>
      </c>
    </row>
    <row r="116">
      <c r="B116" s="55" t="n">
        <v>0</v>
      </c>
      <c r="C116" s="47">
        <f>(( ($E$76*(1+C$113)*(1+$B116/$E$60) + $E$77*(1+C$113) - $E$78*(1+C$113) - $E$79*(1+C$113))/(1+$B$29)^0.5 + ($F$76*(1+C$113)^2*(1+$B116/$F$60) + $F$77*(1+C$113)^2 - $F$78*(1+C$113)^2 - $F$79*(1+C$113))/(1+$B$29)^1.5 + ($G$76*(1+C$113)^3*(1+$B116/$G$60) + $G$77*(1+C$113)^3 - $G$78*(1+C$113)^3 - $G$79*(1+C$113))/(1+$B$29)^2.5 + ($H$76*(1+C$113)^4*(1+$B116/$H$60) + $H$77*(1+C$113)^4 - $H$78*(1+C$113)^4 - $H$79*(1+C$113))/(1+$B$29)^3.5 + ($I$76*(1+C$113)^5*(1+$B116/$I$60) + $I$77*(1+C$113)^5 - $I$78*(1+C$113)^5 - $I$79*(1+C$113))/(1+$B$29)^4.5 ) + ( (($I$76*(1+C$113)^5*(1+$B116/$I$60) + $I$77*(1+C$113)^5 - $I$78*(1+C$113)^5 - $I$79*(1+C$113))*(1+$E$64))/($B$29-$E$64) )/(1+$B$29)^5 - $B$15) / $B$11</f>
        <v/>
      </c>
      <c r="D116" s="47">
        <f>(( ($E$76*(1+D$113)*(1+$B116/$E$60) + $E$77*(1+D$113) - $E$78*(1+D$113) - $E$79*(1+D$113))/(1+$B$29)^0.5 + ($F$76*(1+D$113)^2*(1+$B116/$F$60) + $F$77*(1+D$113)^2 - $F$78*(1+D$113)^2 - $F$79*(1+D$113))/(1+$B$29)^1.5 + ($G$76*(1+D$113)^3*(1+$B116/$G$60) + $G$77*(1+D$113)^3 - $G$78*(1+D$113)^3 - $G$79*(1+D$113))/(1+$B$29)^2.5 + ($H$76*(1+D$113)^4*(1+$B116/$H$60) + $H$77*(1+D$113)^4 - $H$78*(1+D$113)^4 - $H$79*(1+D$113))/(1+$B$29)^3.5 + ($I$76*(1+D$113)^5*(1+$B116/$I$60) + $I$77*(1+D$113)^5 - $I$78*(1+D$113)^5 - $I$79*(1+D$113))/(1+$B$29)^4.5 ) + ( (($I$76*(1+D$113)^5*(1+$B116/$I$60) + $I$77*(1+D$113)^5 - $I$78*(1+D$113)^5 - $I$79*(1+D$113))*(1+$E$64))/($B$29-$E$64) )/(1+$B$29)^5 - $B$15) / $B$11</f>
        <v/>
      </c>
      <c r="E116" s="53">
        <f>(( ($E$76*(1+E$113)*(1+$B116/$E$60) + $E$77*(1+E$113) - $E$78*(1+E$113) - $E$79*(1+E$113))/(1+$B$29)^0.5 + ($F$76*(1+E$113)^2*(1+$B116/$F$60) + $F$77*(1+E$113)^2 - $F$78*(1+E$113)^2 - $F$79*(1+E$113))/(1+$B$29)^1.5 + ($G$76*(1+E$113)^3*(1+$B116/$G$60) + $G$77*(1+E$113)^3 - $G$78*(1+E$113)^3 - $G$79*(1+E$113))/(1+$B$29)^2.5 + ($H$76*(1+E$113)^4*(1+$B116/$H$60) + $H$77*(1+E$113)^4 - $H$78*(1+E$113)^4 - $H$79*(1+E$113))/(1+$B$29)^3.5 + ($I$76*(1+E$113)^5*(1+$B116/$I$60) + $I$77*(1+E$113)^5 - $I$78*(1+E$113)^5 - $I$79*(1+E$113))/(1+$B$29)^4.5 ) + ( (($I$76*(1+E$113)^5*(1+$B116/$I$60) + $I$77*(1+E$113)^5 - $I$78*(1+E$113)^5 - $I$79*(1+E$113))*(1+$E$64))/($B$29-$E$64) )/(1+$B$29)^5 - $B$15) / $B$11</f>
        <v/>
      </c>
      <c r="F116" s="47">
        <f>(( ($E$76*(1+F$113)*(1+$B116/$E$60) + $E$77*(1+F$113) - $E$78*(1+F$113) - $E$79*(1+F$113))/(1+$B$29)^0.5 + ($F$76*(1+F$113)^2*(1+$B116/$F$60) + $F$77*(1+F$113)^2 - $F$78*(1+F$113)^2 - $F$79*(1+F$113))/(1+$B$29)^1.5 + ($G$76*(1+F$113)^3*(1+$B116/$G$60) + $G$77*(1+F$113)^3 - $G$78*(1+F$113)^3 - $G$79*(1+F$113))/(1+$B$29)^2.5 + ($H$76*(1+F$113)^4*(1+$B116/$H$60) + $H$77*(1+F$113)^4 - $H$78*(1+F$113)^4 - $H$79*(1+F$113))/(1+$B$29)^3.5 + ($I$76*(1+F$113)^5*(1+$B116/$I$60) + $I$77*(1+F$113)^5 - $I$78*(1+F$113)^5 - $I$79*(1+F$113))/(1+$B$29)^4.5 ) + ( (($I$76*(1+F$113)^5*(1+$B116/$I$60) + $I$77*(1+F$113)^5 - $I$78*(1+F$113)^5 - $I$79*(1+F$113))*(1+$E$64))/($B$29-$E$64) )/(1+$B$29)^5 - $B$15) / $B$11</f>
        <v/>
      </c>
      <c r="G116" s="47">
        <f>(( ($E$76*(1+G$113)*(1+$B116/$E$60) + $E$77*(1+G$113) - $E$78*(1+G$113) - $E$79*(1+G$113))/(1+$B$29)^0.5 + ($F$76*(1+G$113)^2*(1+$B116/$F$60) + $F$77*(1+G$113)^2 - $F$78*(1+G$113)^2 - $F$79*(1+G$113))/(1+$B$29)^1.5 + ($G$76*(1+G$113)^3*(1+$B116/$G$60) + $G$77*(1+G$113)^3 - $G$78*(1+G$113)^3 - $G$79*(1+G$113))/(1+$B$29)^2.5 + ($H$76*(1+G$113)^4*(1+$B116/$H$60) + $H$77*(1+G$113)^4 - $H$78*(1+G$113)^4 - $H$79*(1+G$113))/(1+$B$29)^3.5 + ($I$76*(1+G$113)^5*(1+$B116/$I$60) + $I$77*(1+G$113)^5 - $I$78*(1+G$113)^5 - $I$79*(1+G$113))/(1+$B$29)^4.5 ) + ( (($I$76*(1+G$113)^5*(1+$B116/$I$60) + $I$77*(1+G$113)^5 - $I$78*(1+G$113)^5 - $I$79*(1+G$113))*(1+$E$64))/($B$29-$E$64) )/(1+$B$29)^5 - $B$15) / $B$11</f>
        <v/>
      </c>
    </row>
    <row r="117">
      <c r="B117" s="54" t="n">
        <v>0.01</v>
      </c>
      <c r="C117" s="47">
        <f>(( ($E$76*(1+C$113)*(1+$B117/$E$60) + $E$77*(1+C$113) - $E$78*(1+C$113) - $E$79*(1+C$113))/(1+$B$29)^0.5 + ($F$76*(1+C$113)^2*(1+$B117/$F$60) + $F$77*(1+C$113)^2 - $F$78*(1+C$113)^2 - $F$79*(1+C$113))/(1+$B$29)^1.5 + ($G$76*(1+C$113)^3*(1+$B117/$G$60) + $G$77*(1+C$113)^3 - $G$78*(1+C$113)^3 - $G$79*(1+C$113))/(1+$B$29)^2.5 + ($H$76*(1+C$113)^4*(1+$B117/$H$60) + $H$77*(1+C$113)^4 - $H$78*(1+C$113)^4 - $H$79*(1+C$113))/(1+$B$29)^3.5 + ($I$76*(1+C$113)^5*(1+$B117/$I$60) + $I$77*(1+C$113)^5 - $I$78*(1+C$113)^5 - $I$79*(1+C$113))/(1+$B$29)^4.5 ) + ( (($I$76*(1+C$113)^5*(1+$B117/$I$60) + $I$77*(1+C$113)^5 - $I$78*(1+C$113)^5 - $I$79*(1+C$113))*(1+$E$64))/($B$29-$E$64) )/(1+$B$29)^5 - $B$15) / $B$11</f>
        <v/>
      </c>
      <c r="D117" s="47">
        <f>(( ($E$76*(1+D$113)*(1+$B117/$E$60) + $E$77*(1+D$113) - $E$78*(1+D$113) - $E$79*(1+D$113))/(1+$B$29)^0.5 + ($F$76*(1+D$113)^2*(1+$B117/$F$60) + $F$77*(1+D$113)^2 - $F$78*(1+D$113)^2 - $F$79*(1+D$113))/(1+$B$29)^1.5 + ($G$76*(1+D$113)^3*(1+$B117/$G$60) + $G$77*(1+D$113)^3 - $G$78*(1+D$113)^3 - $G$79*(1+D$113))/(1+$B$29)^2.5 + ($H$76*(1+D$113)^4*(1+$B117/$H$60) + $H$77*(1+D$113)^4 - $H$78*(1+D$113)^4 - $H$79*(1+D$113))/(1+$B$29)^3.5 + ($I$76*(1+D$113)^5*(1+$B117/$I$60) + $I$77*(1+D$113)^5 - $I$78*(1+D$113)^5 - $I$79*(1+D$113))/(1+$B$29)^4.5 ) + ( (($I$76*(1+D$113)^5*(1+$B117/$I$60) + $I$77*(1+D$113)^5 - $I$78*(1+D$113)^5 - $I$79*(1+D$113))*(1+$E$64))/($B$29-$E$64) )/(1+$B$29)^5 - $B$15) / $B$11</f>
        <v/>
      </c>
      <c r="E117" s="47">
        <f>(( ($E$76*(1+E$113)*(1+$B117/$E$60) + $E$77*(1+E$113) - $E$78*(1+E$113) - $E$79*(1+E$113))/(1+$B$29)^0.5 + ($F$76*(1+E$113)^2*(1+$B117/$F$60) + $F$77*(1+E$113)^2 - $F$78*(1+E$113)^2 - $F$79*(1+E$113))/(1+$B$29)^1.5 + ($G$76*(1+E$113)^3*(1+$B117/$G$60) + $G$77*(1+E$113)^3 - $G$78*(1+E$113)^3 - $G$79*(1+E$113))/(1+$B$29)^2.5 + ($H$76*(1+E$113)^4*(1+$B117/$H$60) + $H$77*(1+E$113)^4 - $H$78*(1+E$113)^4 - $H$79*(1+E$113))/(1+$B$29)^3.5 + ($I$76*(1+E$113)^5*(1+$B117/$I$60) + $I$77*(1+E$113)^5 - $I$78*(1+E$113)^5 - $I$79*(1+E$113))/(1+$B$29)^4.5 ) + ( (($I$76*(1+E$113)^5*(1+$B117/$I$60) + $I$77*(1+E$113)^5 - $I$78*(1+E$113)^5 - $I$79*(1+E$113))*(1+$E$64))/($B$29-$E$64) )/(1+$B$29)^5 - $B$15) / $B$11</f>
        <v/>
      </c>
      <c r="F117" s="47">
        <f>(( ($E$76*(1+F$113)*(1+$B117/$E$60) + $E$77*(1+F$113) - $E$78*(1+F$113) - $E$79*(1+F$113))/(1+$B$29)^0.5 + ($F$76*(1+F$113)^2*(1+$B117/$F$60) + $F$77*(1+F$113)^2 - $F$78*(1+F$113)^2 - $F$79*(1+F$113))/(1+$B$29)^1.5 + ($G$76*(1+F$113)^3*(1+$B117/$G$60) + $G$77*(1+F$113)^3 - $G$78*(1+F$113)^3 - $G$79*(1+F$113))/(1+$B$29)^2.5 + ($H$76*(1+F$113)^4*(1+$B117/$H$60) + $H$77*(1+F$113)^4 - $H$78*(1+F$113)^4 - $H$79*(1+F$113))/(1+$B$29)^3.5 + ($I$76*(1+F$113)^5*(1+$B117/$I$60) + $I$77*(1+F$113)^5 - $I$78*(1+F$113)^5 - $I$79*(1+F$113))/(1+$B$29)^4.5 ) + ( (($I$76*(1+F$113)^5*(1+$B117/$I$60) + $I$77*(1+F$113)^5 - $I$78*(1+F$113)^5 - $I$79*(1+F$113))*(1+$E$64))/($B$29-$E$64) )/(1+$B$29)^5 - $B$15) / $B$11</f>
        <v/>
      </c>
      <c r="G117" s="47">
        <f>(( ($E$76*(1+G$113)*(1+$B117/$E$60) + $E$77*(1+G$113) - $E$78*(1+G$113) - $E$79*(1+G$113))/(1+$B$29)^0.5 + ($F$76*(1+G$113)^2*(1+$B117/$F$60) + $F$77*(1+G$113)^2 - $F$78*(1+G$113)^2 - $F$79*(1+G$113))/(1+$B$29)^1.5 + ($G$76*(1+G$113)^3*(1+$B117/$G$60) + $G$77*(1+G$113)^3 - $G$78*(1+G$113)^3 - $G$79*(1+G$113))/(1+$B$29)^2.5 + ($H$76*(1+G$113)^4*(1+$B117/$H$60) + $H$77*(1+G$113)^4 - $H$78*(1+G$113)^4 - $H$79*(1+G$113))/(1+$B$29)^3.5 + ($I$76*(1+G$113)^5*(1+$B117/$I$60) + $I$77*(1+G$113)^5 - $I$78*(1+G$113)^5 - $I$79*(1+G$113))/(1+$B$29)^4.5 ) + ( (($I$76*(1+G$113)^5*(1+$B117/$I$60) + $I$77*(1+G$113)^5 - $I$78*(1+G$113)^5 - $I$79*(1+G$113))*(1+$E$64))/($B$29-$E$64) )/(1+$B$29)^5 - $B$15) / $B$11</f>
        <v/>
      </c>
    </row>
    <row r="118">
      <c r="B118" s="54" t="n">
        <v>0.02</v>
      </c>
      <c r="C118" s="47">
        <f>(( ($E$76*(1+C$113)*(1+$B118/$E$60) + $E$77*(1+C$113) - $E$78*(1+C$113) - $E$79*(1+C$113))/(1+$B$29)^0.5 + ($F$76*(1+C$113)^2*(1+$B118/$F$60) + $F$77*(1+C$113)^2 - $F$78*(1+C$113)^2 - $F$79*(1+C$113))/(1+$B$29)^1.5 + ($G$76*(1+C$113)^3*(1+$B118/$G$60) + $G$77*(1+C$113)^3 - $G$78*(1+C$113)^3 - $G$79*(1+C$113))/(1+$B$29)^2.5 + ($H$76*(1+C$113)^4*(1+$B118/$H$60) + $H$77*(1+C$113)^4 - $H$78*(1+C$113)^4 - $H$79*(1+C$113))/(1+$B$29)^3.5 + ($I$76*(1+C$113)^5*(1+$B118/$I$60) + $I$77*(1+C$113)^5 - $I$78*(1+C$113)^5 - $I$79*(1+C$113))/(1+$B$29)^4.5 ) + ( (($I$76*(1+C$113)^5*(1+$B118/$I$60) + $I$77*(1+C$113)^5 - $I$78*(1+C$113)^5 - $I$79*(1+C$113))*(1+$E$64))/($B$29-$E$64) )/(1+$B$29)^5 - $B$15) / $B$11</f>
        <v/>
      </c>
      <c r="D118" s="47">
        <f>(( ($E$76*(1+D$113)*(1+$B118/$E$60) + $E$77*(1+D$113) - $E$78*(1+D$113) - $E$79*(1+D$113))/(1+$B$29)^0.5 + ($F$76*(1+D$113)^2*(1+$B118/$F$60) + $F$77*(1+D$113)^2 - $F$78*(1+D$113)^2 - $F$79*(1+D$113))/(1+$B$29)^1.5 + ($G$76*(1+D$113)^3*(1+$B118/$G$60) + $G$77*(1+D$113)^3 - $G$78*(1+D$113)^3 - $G$79*(1+D$113))/(1+$B$29)^2.5 + ($H$76*(1+D$113)^4*(1+$B118/$H$60) + $H$77*(1+D$113)^4 - $H$78*(1+D$113)^4 - $H$79*(1+D$113))/(1+$B$29)^3.5 + ($I$76*(1+D$113)^5*(1+$B118/$I$60) + $I$77*(1+D$113)^5 - $I$78*(1+D$113)^5 - $I$79*(1+D$113))/(1+$B$29)^4.5 ) + ( (($I$76*(1+D$113)^5*(1+$B118/$I$60) + $I$77*(1+D$113)^5 - $I$78*(1+D$113)^5 - $I$79*(1+D$113))*(1+$E$64))/($B$29-$E$64) )/(1+$B$29)^5 - $B$15) / $B$11</f>
        <v/>
      </c>
      <c r="E118" s="47">
        <f>(( ($E$76*(1+E$113)*(1+$B118/$E$60) + $E$77*(1+E$113) - $E$78*(1+E$113) - $E$79*(1+E$113))/(1+$B$29)^0.5 + ($F$76*(1+E$113)^2*(1+$B118/$F$60) + $F$77*(1+E$113)^2 - $F$78*(1+E$113)^2 - $F$79*(1+E$113))/(1+$B$29)^1.5 + ($G$76*(1+E$113)^3*(1+$B118/$G$60) + $G$77*(1+E$113)^3 - $G$78*(1+E$113)^3 - $G$79*(1+E$113))/(1+$B$29)^2.5 + ($H$76*(1+E$113)^4*(1+$B118/$H$60) + $H$77*(1+E$113)^4 - $H$78*(1+E$113)^4 - $H$79*(1+E$113))/(1+$B$29)^3.5 + ($I$76*(1+E$113)^5*(1+$B118/$I$60) + $I$77*(1+E$113)^5 - $I$78*(1+E$113)^5 - $I$79*(1+E$113))/(1+$B$29)^4.5 ) + ( (($I$76*(1+E$113)^5*(1+$B118/$I$60) + $I$77*(1+E$113)^5 - $I$78*(1+E$113)^5 - $I$79*(1+E$113))*(1+$E$64))/($B$29-$E$64) )/(1+$B$29)^5 - $B$15) / $B$11</f>
        <v/>
      </c>
      <c r="F118" s="47">
        <f>(( ($E$76*(1+F$113)*(1+$B118/$E$60) + $E$77*(1+F$113) - $E$78*(1+F$113) - $E$79*(1+F$113))/(1+$B$29)^0.5 + ($F$76*(1+F$113)^2*(1+$B118/$F$60) + $F$77*(1+F$113)^2 - $F$78*(1+F$113)^2 - $F$79*(1+F$113))/(1+$B$29)^1.5 + ($G$76*(1+F$113)^3*(1+$B118/$G$60) + $G$77*(1+F$113)^3 - $G$78*(1+F$113)^3 - $G$79*(1+F$113))/(1+$B$29)^2.5 + ($H$76*(1+F$113)^4*(1+$B118/$H$60) + $H$77*(1+F$113)^4 - $H$78*(1+F$113)^4 - $H$79*(1+F$113))/(1+$B$29)^3.5 + ($I$76*(1+F$113)^5*(1+$B118/$I$60) + $I$77*(1+F$113)^5 - $I$78*(1+F$113)^5 - $I$79*(1+F$113))/(1+$B$29)^4.5 ) + ( (($I$76*(1+F$113)^5*(1+$B118/$I$60) + $I$77*(1+F$113)^5 - $I$78*(1+F$113)^5 - $I$79*(1+F$113))*(1+$E$64))/($B$29-$E$64) )/(1+$B$29)^5 - $B$15) / $B$11</f>
        <v/>
      </c>
      <c r="G118" s="47">
        <f>(( ($E$76*(1+G$113)*(1+$B118/$E$60) + $E$77*(1+G$113) - $E$78*(1+G$113) - $E$79*(1+G$113))/(1+$B$29)^0.5 + ($F$76*(1+G$113)^2*(1+$B118/$F$60) + $F$77*(1+G$113)^2 - $F$78*(1+G$113)^2 - $F$79*(1+G$113))/(1+$B$29)^1.5 + ($G$76*(1+G$113)^3*(1+$B118/$G$60) + $G$77*(1+G$113)^3 - $G$78*(1+G$113)^3 - $G$79*(1+G$113))/(1+$B$29)^2.5 + ($H$76*(1+G$113)^4*(1+$B118/$H$60) + $H$77*(1+G$113)^4 - $H$78*(1+G$113)^4 - $H$79*(1+G$113))/(1+$B$29)^3.5 + ($I$76*(1+G$113)^5*(1+$B118/$I$60) + $I$77*(1+G$113)^5 - $I$78*(1+G$113)^5 - $I$79*(1+G$113))/(1+$B$29)^4.5 ) + ( (($I$76*(1+G$113)^5*(1+$B118/$I$60) + $I$77*(1+G$113)^5 - $I$78*(1+G$113)^5 - $I$79*(1+G$113))*(1+$E$64))/($B$29-$E$64) )/(1+$B$29)^5 - $B$15) / $B$11</f>
        <v/>
      </c>
    </row>
    <row r="121" ht="24" customHeight="1">
      <c r="A121" s="28" t="inlineStr">
        <is>
          <t>TABLE 3: IMPLIED SHARE PRICE ($) — EQUITY BETA (β) vs. RISK-FREE RATE (Rf)</t>
        </is>
      </c>
      <c r="B121" s="28" t="n"/>
      <c r="C121" s="28" t="n"/>
      <c r="D121" s="28" t="n"/>
      <c r="E121" s="28" t="n"/>
      <c r="F121" s="28" t="n"/>
      <c r="G121" s="28" t="n"/>
    </row>
    <row r="122">
      <c r="B122" s="50" t="inlineStr">
        <is>
          <t>Beta (β) \ Rf</t>
        </is>
      </c>
      <c r="C122" s="51">
        <f>$B$20-0.010</f>
        <v/>
      </c>
      <c r="D122" s="51">
        <f>$B$20-0.005</f>
        <v/>
      </c>
      <c r="E122" s="52">
        <f>$B$20</f>
        <v/>
      </c>
      <c r="F122" s="51">
        <f>$B$20+0.005</f>
        <v/>
      </c>
      <c r="G122" s="51">
        <f>$B$20+0.010</f>
        <v/>
      </c>
    </row>
    <row r="123">
      <c r="B123" s="56">
        <f>$B$21-0.20</f>
        <v/>
      </c>
      <c r="C123" s="47">
        <f>(( $E$80/(1+((C$122+$B123*$B$22)*$B$27+$B$26*$B$28))^0.5 + $F$80/(1+((C$122+$B123*$B$22)*$B$27+$B$26*$B$28))^1.5 + $G$80/(1+((C$122+$B123*$B$22)*$B$27+$B$26*$B$28))^2.5 + $H$80/(1+((C$122+$B123*$B$22)*$B$27+$B$26*$B$28))^3.5 + $I$80/(1+((C$122+$B123*$B$22)*$B$27+$B$26*$B$28))^4.5 ) + (($I$80*(1+$E$64))/(((C$122+$B123*$B$22)*$B$27+$B$26*$B$28)-$E$64))/(1+((C$122+$B123*$B$22)*$B$27+$B$26*$B$28))^5 - $B$15) / $B$11</f>
        <v/>
      </c>
      <c r="D123" s="47">
        <f>(( $E$80/(1+((D$122+$B123*$B$22)*$B$27+$B$26*$B$28))^0.5 + $F$80/(1+((D$122+$B123*$B$22)*$B$27+$B$26*$B$28))^1.5 + $G$80/(1+((D$122+$B123*$B$22)*$B$27+$B$26*$B$28))^2.5 + $H$80/(1+((D$122+$B123*$B$22)*$B$27+$B$26*$B$28))^3.5 + $I$80/(1+((D$122+$B123*$B$22)*$B$27+$B$26*$B$28))^4.5 ) + (($I$80*(1+$E$64))/(((D$122+$B123*$B$22)*$B$27+$B$26*$B$28)-$E$64))/(1+((D$122+$B123*$B$22)*$B$27+$B$26*$B$28))^5 - $B$15) / $B$11</f>
        <v/>
      </c>
      <c r="E123" s="47">
        <f>(( $E$80/(1+((E$122+$B123*$B$22)*$B$27+$B$26*$B$28))^0.5 + $F$80/(1+((E$122+$B123*$B$22)*$B$27+$B$26*$B$28))^1.5 + $G$80/(1+((E$122+$B123*$B$22)*$B$27+$B$26*$B$28))^2.5 + $H$80/(1+((E$122+$B123*$B$22)*$B$27+$B$26*$B$28))^3.5 + $I$80/(1+((E$122+$B123*$B$22)*$B$27+$B$26*$B$28))^4.5 ) + (($I$80*(1+$E$64))/(((E$122+$B123*$B$22)*$B$27+$B$26*$B$28)-$E$64))/(1+((E$122+$B123*$B$22)*$B$27+$B$26*$B$28))^5 - $B$15) / $B$11</f>
        <v/>
      </c>
      <c r="F123" s="47">
        <f>(( $E$80/(1+((F$122+$B123*$B$22)*$B$27+$B$26*$B$28))^0.5 + $F$80/(1+((F$122+$B123*$B$22)*$B$27+$B$26*$B$28))^1.5 + $G$80/(1+((F$122+$B123*$B$22)*$B$27+$B$26*$B$28))^2.5 + $H$80/(1+((F$122+$B123*$B$22)*$B$27+$B$26*$B$28))^3.5 + $I$80/(1+((F$122+$B123*$B$22)*$B$27+$B$26*$B$28))^4.5 ) + (($I$80*(1+$E$64))/(((F$122+$B123*$B$22)*$B$27+$B$26*$B$28)-$E$64))/(1+((F$122+$B123*$B$22)*$B$27+$B$26*$B$28))^5 - $B$15) / $B$11</f>
        <v/>
      </c>
      <c r="G123" s="47">
        <f>(( $E$80/(1+((G$122+$B123*$B$22)*$B$27+$B$26*$B$28))^0.5 + $F$80/(1+((G$122+$B123*$B$22)*$B$27+$B$26*$B$28))^1.5 + $G$80/(1+((G$122+$B123*$B$22)*$B$27+$B$26*$B$28))^2.5 + $H$80/(1+((G$122+$B123*$B$22)*$B$27+$B$26*$B$28))^3.5 + $I$80/(1+((G$122+$B123*$B$22)*$B$27+$B$26*$B$28))^4.5 ) + (($I$80*(1+$E$64))/(((G$122+$B123*$B$22)*$B$27+$B$26*$B$28)-$E$64))/(1+((G$122+$B123*$B$22)*$B$27+$B$26*$B$28))^5 - $B$15) / $B$11</f>
        <v/>
      </c>
    </row>
    <row r="124">
      <c r="B124" s="56">
        <f>$B$21-0.10</f>
        <v/>
      </c>
      <c r="C124" s="47">
        <f>(( $E$80/(1+((C$122+$B124*$B$22)*$B$27+$B$26*$B$28))^0.5 + $F$80/(1+((C$122+$B124*$B$22)*$B$27+$B$26*$B$28))^1.5 + $G$80/(1+((C$122+$B124*$B$22)*$B$27+$B$26*$B$28))^2.5 + $H$80/(1+((C$122+$B124*$B$22)*$B$27+$B$26*$B$28))^3.5 + $I$80/(1+((C$122+$B124*$B$22)*$B$27+$B$26*$B$28))^4.5 ) + (($I$80*(1+$E$64))/(((C$122+$B124*$B$22)*$B$27+$B$26*$B$28)-$E$64))/(1+((C$122+$B124*$B$22)*$B$27+$B$26*$B$28))^5 - $B$15) / $B$11</f>
        <v/>
      </c>
      <c r="D124" s="47">
        <f>(( $E$80/(1+((D$122+$B124*$B$22)*$B$27+$B$26*$B$28))^0.5 + $F$80/(1+((D$122+$B124*$B$22)*$B$27+$B$26*$B$28))^1.5 + $G$80/(1+((D$122+$B124*$B$22)*$B$27+$B$26*$B$28))^2.5 + $H$80/(1+((D$122+$B124*$B$22)*$B$27+$B$26*$B$28))^3.5 + $I$80/(1+((D$122+$B124*$B$22)*$B$27+$B$26*$B$28))^4.5 ) + (($I$80*(1+$E$64))/(((D$122+$B124*$B$22)*$B$27+$B$26*$B$28)-$E$64))/(1+((D$122+$B124*$B$22)*$B$27+$B$26*$B$28))^5 - $B$15) / $B$11</f>
        <v/>
      </c>
      <c r="E124" s="47">
        <f>(( $E$80/(1+((E$122+$B124*$B$22)*$B$27+$B$26*$B$28))^0.5 + $F$80/(1+((E$122+$B124*$B$22)*$B$27+$B$26*$B$28))^1.5 + $G$80/(1+((E$122+$B124*$B$22)*$B$27+$B$26*$B$28))^2.5 + $H$80/(1+((E$122+$B124*$B$22)*$B$27+$B$26*$B$28))^3.5 + $I$80/(1+((E$122+$B124*$B$22)*$B$27+$B$26*$B$28))^4.5 ) + (($I$80*(1+$E$64))/(((E$122+$B124*$B$22)*$B$27+$B$26*$B$28)-$E$64))/(1+((E$122+$B124*$B$22)*$B$27+$B$26*$B$28))^5 - $B$15) / $B$11</f>
        <v/>
      </c>
      <c r="F124" s="47">
        <f>(( $E$80/(1+((F$122+$B124*$B$22)*$B$27+$B$26*$B$28))^0.5 + $F$80/(1+((F$122+$B124*$B$22)*$B$27+$B$26*$B$28))^1.5 + $G$80/(1+((F$122+$B124*$B$22)*$B$27+$B$26*$B$28))^2.5 + $H$80/(1+((F$122+$B124*$B$22)*$B$27+$B$26*$B$28))^3.5 + $I$80/(1+((F$122+$B124*$B$22)*$B$27+$B$26*$B$28))^4.5 ) + (($I$80*(1+$E$64))/(((F$122+$B124*$B$22)*$B$27+$B$26*$B$28)-$E$64))/(1+((F$122+$B124*$B$22)*$B$27+$B$26*$B$28))^5 - $B$15) / $B$11</f>
        <v/>
      </c>
      <c r="G124" s="47">
        <f>(( $E$80/(1+((G$122+$B124*$B$22)*$B$27+$B$26*$B$28))^0.5 + $F$80/(1+((G$122+$B124*$B$22)*$B$27+$B$26*$B$28))^1.5 + $G$80/(1+((G$122+$B124*$B$22)*$B$27+$B$26*$B$28))^2.5 + $H$80/(1+((G$122+$B124*$B$22)*$B$27+$B$26*$B$28))^3.5 + $I$80/(1+((G$122+$B124*$B$22)*$B$27+$B$26*$B$28))^4.5 ) + (($I$80*(1+$E$64))/(((G$122+$B124*$B$22)*$B$27+$B$26*$B$28)-$E$64))/(1+((G$122+$B124*$B$22)*$B$27+$B$26*$B$28))^5 - $B$15) / $B$11</f>
        <v/>
      </c>
    </row>
    <row r="125">
      <c r="B125" s="57">
        <f>$B$21</f>
        <v/>
      </c>
      <c r="C125" s="47">
        <f>(( $E$80/(1+((C$122+$B125*$B$22)*$B$27+$B$26*$B$28))^0.5 + $F$80/(1+((C$122+$B125*$B$22)*$B$27+$B$26*$B$28))^1.5 + $G$80/(1+((C$122+$B125*$B$22)*$B$27+$B$26*$B$28))^2.5 + $H$80/(1+((C$122+$B125*$B$22)*$B$27+$B$26*$B$28))^3.5 + $I$80/(1+((C$122+$B125*$B$22)*$B$27+$B$26*$B$28))^4.5 ) + (($I$80*(1+$E$64))/(((C$122+$B125*$B$22)*$B$27+$B$26*$B$28)-$E$64))/(1+((C$122+$B125*$B$22)*$B$27+$B$26*$B$28))^5 - $B$15) / $B$11</f>
        <v/>
      </c>
      <c r="D125" s="47">
        <f>(( $E$80/(1+((D$122+$B125*$B$22)*$B$27+$B$26*$B$28))^0.5 + $F$80/(1+((D$122+$B125*$B$22)*$B$27+$B$26*$B$28))^1.5 + $G$80/(1+((D$122+$B125*$B$22)*$B$27+$B$26*$B$28))^2.5 + $H$80/(1+((D$122+$B125*$B$22)*$B$27+$B$26*$B$28))^3.5 + $I$80/(1+((D$122+$B125*$B$22)*$B$27+$B$26*$B$28))^4.5 ) + (($I$80*(1+$E$64))/(((D$122+$B125*$B$22)*$B$27+$B$26*$B$28)-$E$64))/(1+((D$122+$B125*$B$22)*$B$27+$B$26*$B$28))^5 - $B$15) / $B$11</f>
        <v/>
      </c>
      <c r="E125" s="53">
        <f>(( $E$80/(1+((E$122+$B125*$B$22)*$B$27+$B$26*$B$28))^0.5 + $F$80/(1+((E$122+$B125*$B$22)*$B$27+$B$26*$B$28))^1.5 + $G$80/(1+((E$122+$B125*$B$22)*$B$27+$B$26*$B$28))^2.5 + $H$80/(1+((E$122+$B125*$B$22)*$B$27+$B$26*$B$28))^3.5 + $I$80/(1+((E$122+$B125*$B$22)*$B$27+$B$26*$B$28))^4.5 ) + (($I$80*(1+$E$64))/(((E$122+$B125*$B$22)*$B$27+$B$26*$B$28)-$E$64))/(1+((E$122+$B125*$B$22)*$B$27+$B$26*$B$28))^5 - $B$15) / $B$11</f>
        <v/>
      </c>
      <c r="F125" s="47">
        <f>(( $E$80/(1+((F$122+$B125*$B$22)*$B$27+$B$26*$B$28))^0.5 + $F$80/(1+((F$122+$B125*$B$22)*$B$27+$B$26*$B$28))^1.5 + $G$80/(1+((F$122+$B125*$B$22)*$B$27+$B$26*$B$28))^2.5 + $H$80/(1+((F$122+$B125*$B$22)*$B$27+$B$26*$B$28))^3.5 + $I$80/(1+((F$122+$B125*$B$22)*$B$27+$B$26*$B$28))^4.5 ) + (($I$80*(1+$E$64))/(((F$122+$B125*$B$22)*$B$27+$B$26*$B$28)-$E$64))/(1+((F$122+$B125*$B$22)*$B$27+$B$26*$B$28))^5 - $B$15) / $B$11</f>
        <v/>
      </c>
      <c r="G125" s="47">
        <f>(( $E$80/(1+((G$122+$B125*$B$22)*$B$27+$B$26*$B$28))^0.5 + $F$80/(1+((G$122+$B125*$B$22)*$B$27+$B$26*$B$28))^1.5 + $G$80/(1+((G$122+$B125*$B$22)*$B$27+$B$26*$B$28))^2.5 + $H$80/(1+((G$122+$B125*$B$22)*$B$27+$B$26*$B$28))^3.5 + $I$80/(1+((G$122+$B125*$B$22)*$B$27+$B$26*$B$28))^4.5 ) + (($I$80*(1+$E$64))/(((G$122+$B125*$B$22)*$B$27+$B$26*$B$28)-$E$64))/(1+((G$122+$B125*$B$22)*$B$27+$B$26*$B$28))^5 - $B$15) / $B$11</f>
        <v/>
      </c>
    </row>
    <row r="126">
      <c r="B126" s="56">
        <f>$B$21+0.10</f>
        <v/>
      </c>
      <c r="C126" s="47">
        <f>(( $E$80/(1+((C$122+$B126*$B$22)*$B$27+$B$26*$B$28))^0.5 + $F$80/(1+((C$122+$B126*$B$22)*$B$27+$B$26*$B$28))^1.5 + $G$80/(1+((C$122+$B126*$B$22)*$B$27+$B$26*$B$28))^2.5 + $H$80/(1+((C$122+$B126*$B$22)*$B$27+$B$26*$B$28))^3.5 + $I$80/(1+((C$122+$B126*$B$22)*$B$27+$B$26*$B$28))^4.5 ) + (($I$80*(1+$E$64))/(((C$122+$B126*$B$22)*$B$27+$B$26*$B$28)-$E$64))/(1+((C$122+$B126*$B$22)*$B$27+$B$26*$B$28))^5 - $B$15) / $B$11</f>
        <v/>
      </c>
      <c r="D126" s="47">
        <f>(( $E$80/(1+((D$122+$B126*$B$22)*$B$27+$B$26*$B$28))^0.5 + $F$80/(1+((D$122+$B126*$B$22)*$B$27+$B$26*$B$28))^1.5 + $G$80/(1+((D$122+$B126*$B$22)*$B$27+$B$26*$B$28))^2.5 + $H$80/(1+((D$122+$B126*$B$22)*$B$27+$B$26*$B$28))^3.5 + $I$80/(1+((D$122+$B126*$B$22)*$B$27+$B$26*$B$28))^4.5 ) + (($I$80*(1+$E$64))/(((D$122+$B126*$B$22)*$B$27+$B$26*$B$28)-$E$64))/(1+((D$122+$B126*$B$22)*$B$27+$B$26*$B$28))^5 - $B$15) / $B$11</f>
        <v/>
      </c>
      <c r="E126" s="47">
        <f>(( $E$80/(1+((E$122+$B126*$B$22)*$B$27+$B$26*$B$28))^0.5 + $F$80/(1+((E$122+$B126*$B$22)*$B$27+$B$26*$B$28))^1.5 + $G$80/(1+((E$122+$B126*$B$22)*$B$27+$B$26*$B$28))^2.5 + $H$80/(1+((E$122+$B126*$B$22)*$B$27+$B$26*$B$28))^3.5 + $I$80/(1+((E$122+$B126*$B$22)*$B$27+$B$26*$B$28))^4.5 ) + (($I$80*(1+$E$64))/(((E$122+$B126*$B$22)*$B$27+$B$26*$B$28)-$E$64))/(1+((E$122+$B126*$B$22)*$B$27+$B$26*$B$28))^5 - $B$15) / $B$11</f>
        <v/>
      </c>
      <c r="F126" s="47">
        <f>(( $E$80/(1+((F$122+$B126*$B$22)*$B$27+$B$26*$B$28))^0.5 + $F$80/(1+((F$122+$B126*$B$22)*$B$27+$B$26*$B$28))^1.5 + $G$80/(1+((F$122+$B126*$B$22)*$B$27+$B$26*$B$28))^2.5 + $H$80/(1+((F$122+$B126*$B$22)*$B$27+$B$26*$B$28))^3.5 + $I$80/(1+((F$122+$B126*$B$22)*$B$27+$B$26*$B$28))^4.5 ) + (($I$80*(1+$E$64))/(((F$122+$B126*$B$22)*$B$27+$B$26*$B$28)-$E$64))/(1+((F$122+$B126*$B$22)*$B$27+$B$26*$B$28))^5 - $B$15) / $B$11</f>
        <v/>
      </c>
      <c r="G126" s="47">
        <f>(( $E$80/(1+((G$122+$B126*$B$22)*$B$27+$B$26*$B$28))^0.5 + $F$80/(1+((G$122+$B126*$B$22)*$B$27+$B$26*$B$28))^1.5 + $G$80/(1+((G$122+$B126*$B$22)*$B$27+$B$26*$B$28))^2.5 + $H$80/(1+((G$122+$B126*$B$22)*$B$27+$B$26*$B$28))^3.5 + $I$80/(1+((G$122+$B126*$B$22)*$B$27+$B$26*$B$28))^4.5 ) + (($I$80*(1+$E$64))/(((G$122+$B126*$B$22)*$B$27+$B$26*$B$28)-$E$64))/(1+((G$122+$B126*$B$22)*$B$27+$B$26*$B$28))^5 - $B$15) / $B$11</f>
        <v/>
      </c>
    </row>
    <row r="127">
      <c r="B127" s="56">
        <f>$B$21+0.20</f>
        <v/>
      </c>
      <c r="C127" s="47">
        <f>(( $E$80/(1+((C$122+$B127*$B$22)*$B$27+$B$26*$B$28))^0.5 + $F$80/(1+((C$122+$B127*$B$22)*$B$27+$B$26*$B$28))^1.5 + $G$80/(1+((C$122+$B127*$B$22)*$B$27+$B$26*$B$28))^2.5 + $H$80/(1+((C$122+$B127*$B$22)*$B$27+$B$26*$B$28))^3.5 + $I$80/(1+((C$122+$B127*$B$22)*$B$27+$B$26*$B$28))^4.5 ) + (($I$80*(1+$E$64))/(((C$122+$B127*$B$22)*$B$27+$B$26*$B$28)-$E$64))/(1+((C$122+$B127*$B$22)*$B$27+$B$26*$B$28))^5 - $B$15) / $B$11</f>
        <v/>
      </c>
      <c r="D127" s="47">
        <f>(( $E$80/(1+((D$122+$B127*$B$22)*$B$27+$B$26*$B$28))^0.5 + $F$80/(1+((D$122+$B127*$B$22)*$B$27+$B$26*$B$28))^1.5 + $G$80/(1+((D$122+$B127*$B$22)*$B$27+$B$26*$B$28))^2.5 + $H$80/(1+((D$122+$B127*$B$22)*$B$27+$B$26*$B$28))^3.5 + $I$80/(1+((D$122+$B127*$B$22)*$B$27+$B$26*$B$28))^4.5 ) + (($I$80*(1+$E$64))/(((D$122+$B127*$B$22)*$B$27+$B$26*$B$28)-$E$64))/(1+((D$122+$B127*$B$22)*$B$27+$B$26*$B$28))^5 - $B$15) / $B$11</f>
        <v/>
      </c>
      <c r="E127" s="47">
        <f>(( $E$80/(1+((E$122+$B127*$B$22)*$B$27+$B$26*$B$28))^0.5 + $F$80/(1+((E$122+$B127*$B$22)*$B$27+$B$26*$B$28))^1.5 + $G$80/(1+((E$122+$B127*$B$22)*$B$27+$B$26*$B$28))^2.5 + $H$80/(1+((E$122+$B127*$B$22)*$B$27+$B$26*$B$28))^3.5 + $I$80/(1+((E$122+$B127*$B$22)*$B$27+$B$26*$B$28))^4.5 ) + (($I$80*(1+$E$64))/(((E$122+$B127*$B$22)*$B$27+$B$26*$B$28)-$E$64))/(1+((E$122+$B127*$B$22)*$B$27+$B$26*$B$28))^5 - $B$15) / $B$11</f>
        <v/>
      </c>
      <c r="F127" s="47">
        <f>(( $E$80/(1+((F$122+$B127*$B$22)*$B$27+$B$26*$B$28))^0.5 + $F$80/(1+((F$122+$B127*$B$22)*$B$27+$B$26*$B$28))^1.5 + $G$80/(1+((F$122+$B127*$B$22)*$B$27+$B$26*$B$28))^2.5 + $H$80/(1+((F$122+$B127*$B$22)*$B$27+$B$26*$B$28))^3.5 + $I$80/(1+((F$122+$B127*$B$22)*$B$27+$B$26*$B$28))^4.5 ) + (($I$80*(1+$E$64))/(((F$122+$B127*$B$22)*$B$27+$B$26*$B$28)-$E$64))/(1+((F$122+$B127*$B$22)*$B$27+$B$26*$B$28))^5 - $B$15) / $B$11</f>
        <v/>
      </c>
      <c r="G127" s="47">
        <f>(( $E$80/(1+((G$122+$B127*$B$22)*$B$27+$B$26*$B$28))^0.5 + $F$80/(1+((G$122+$B127*$B$22)*$B$27+$B$26*$B$28))^1.5 + $G$80/(1+((G$122+$B127*$B$22)*$B$27+$B$26*$B$28))^2.5 + $H$80/(1+((G$122+$B127*$B$22)*$B$27+$B$26*$B$28))^3.5 + $I$80/(1+((G$122+$B127*$B$22)*$B$27+$B$26*$B$28))^4.5 ) + (($I$80*(1+$E$64))/(((G$122+$B127*$B$22)*$B$27+$B$26*$B$28)-$E$64))/(1+((G$122+$B127*$B$22)*$B$27+$B$26*$B$28))^5 - $B$15) / $B$11</f>
        <v/>
      </c>
    </row>
  </sheetData>
  <mergeCells count="17">
    <mergeCell ref="A82:I82"/>
    <mergeCell ref="A57:I57"/>
    <mergeCell ref="A41:I41"/>
    <mergeCell ref="A2:I2"/>
    <mergeCell ref="A33:I33"/>
    <mergeCell ref="A49:I49"/>
    <mergeCell ref="B6:I6"/>
    <mergeCell ref="A32:I32"/>
    <mergeCell ref="A66:I66"/>
    <mergeCell ref="A102:I102"/>
    <mergeCell ref="A1:I1"/>
    <mergeCell ref="A18:I18"/>
    <mergeCell ref="A8:I8"/>
    <mergeCell ref="A112:G112"/>
    <mergeCell ref="A4:I4"/>
    <mergeCell ref="A121:G121"/>
    <mergeCell ref="A103:G10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2026-08-18T02:52:31Z</dcterms:created>
  <dcterms:modified xmlns:dcterms="http://purl.org/dc/terms/" xmlns:xsi="http://www.w3.org/2001/XMLSchema-instance" xsi:type="dcterms:W3CDTF">2026-08-18T02:52:31Z</dcterms:modified>
</cp:coreProperties>
</file>