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$#,##0.00"/>
    <numFmt numFmtId="166" formatCode="$#,##0.00;($#,##0.00);$0.00"/>
    <numFmt numFmtId="167" formatCode="-0.0%;0.0%;0.0%"/>
    <numFmt numFmtId="168" formatCode="($#,##0.00);($#,##0.00);$0.00"/>
    <numFmt numFmtId="169" formatCode="0.0"/>
    <numFmt numFmtId="170" formatCode="0.0000"/>
    <numFmt numFmtId="171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9" fillId="4" borderId="2" pivotButton="0" quotePrefix="0" xfId="0"/>
    <xf numFmtId="0" fontId="0" fillId="4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5" borderId="2" pivotButton="0" quotePrefix="0" xfId="0"/>
    <xf numFmtId="0" fontId="0" fillId="5" borderId="2" pivotButton="0" quotePrefix="0" xfId="0"/>
    <xf numFmtId="164" fontId="6" fillId="0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5" fontId="10" fillId="3" borderId="2" applyAlignment="1" pivotButton="0" quotePrefix="0" xfId="0">
      <alignment horizontal="right" vertical="center"/>
    </xf>
    <xf numFmtId="167" fontId="5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8" fontId="5" fillId="3" borderId="2" applyAlignment="1" pivotButton="0" quotePrefix="0" xfId="0">
      <alignment horizontal="right" vertical="center"/>
    </xf>
    <xf numFmtId="0" fontId="9" fillId="5" borderId="4" pivotButton="0" quotePrefix="0" xfId="0"/>
    <xf numFmtId="166" fontId="9" fillId="5" borderId="4" applyAlignment="1" pivotButton="0" quotePrefix="0" xfId="0">
      <alignment horizontal="right" vertical="center"/>
    </xf>
    <xf numFmtId="169" fontId="4" fillId="0" borderId="2" applyAlignment="1" pivotButton="0" quotePrefix="0" xfId="0">
      <alignment horizontal="center" vertical="center"/>
    </xf>
    <xf numFmtId="170" fontId="4" fillId="0" borderId="2" applyAlignment="1" pivotButton="0" quotePrefix="0" xfId="0">
      <alignment horizontal="right" vertical="center"/>
    </xf>
    <xf numFmtId="0" fontId="6" fillId="4" borderId="4" pivotButton="0" quotePrefix="0" xfId="0"/>
    <xf numFmtId="166" fontId="6" fillId="4" borderId="4" applyAlignment="1" pivotButton="0" quotePrefix="0" xfId="0">
      <alignment horizontal="right" vertical="center"/>
    </xf>
    <xf numFmtId="0" fontId="0" fillId="4" borderId="4" pivotButton="0" quotePrefix="0" xfId="0"/>
    <xf numFmtId="166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71" fontId="6" fillId="5" borderId="2" applyAlignment="1" pivotButton="0" quotePrefix="0" xfId="0">
      <alignment horizontal="right" vertical="center"/>
    </xf>
    <xf numFmtId="0" fontId="9" fillId="0" borderId="0" pivotButton="0" quotePrefix="0" xfId="0"/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/>
    </xf>
    <xf numFmtId="171" fontId="6" fillId="4" borderId="3" applyAlignment="1" pivotButton="0" quotePrefix="0" xfId="0">
      <alignment horizontal="center" vertical="center"/>
    </xf>
    <xf numFmtId="171" fontId="6" fillId="5" borderId="3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0" fontId="6" fillId="0" borderId="4" pivotButton="0" quotePrefix="0" xfId="0"/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WACC Schedule</author>
    <author>SEC Form 10-K</author>
  </authors>
  <commentList>
    <comment ref="B4" authorId="0" shapeId="0">
      <text>
        <t>Case Selector: 1 = Bear Case (Expansion Friction &amp; Labor Drag), 2 = Base Case (Steady Unit Growth &amp; Scale Leverage), 3 = Bull Case (Accelerated Expansion &amp; Automation Synergy)</t>
      </text>
    </comment>
    <comment ref="B7" authorId="0" shapeId="0">
      <text>
        <t>Source: Market close price as of August 19, 2026 ($50.14)</t>
      </text>
    </comment>
    <comment ref="B8" authorId="0" shapeId="0">
      <text>
        <t>Source: SEC Form 10-Q / 10-K diluted share count (12.15M shares)</t>
      </text>
    </comment>
    <comment ref="B10" authorId="0" shapeId="0">
      <text>
        <t>Source: SEC Form 10-K / 10-Q Balance Sheet cash and equivalents ($50.99M)</t>
      </text>
    </comment>
    <comment ref="B11" authorId="0" shapeId="0">
      <text>
        <t>Source: SEC Form 10-K / 10-Q Balance Sheet: KRUS operates with zero funded debt ($0.00M)</t>
      </text>
    </comment>
    <comment ref="B14" authorId="0" shapeId="0">
      <text>
        <t>Source: US Federal statutory rate (21%) + State tax (~4%) = 25.0%</t>
      </text>
    </comment>
    <comment ref="B15" authorId="0" shapeId="0">
      <text>
        <t>Source: US 10-Year Treasury Yield benchmark as of August 20, 2026 (4.64%)</t>
      </text>
    </comment>
    <comment ref="B16" authorId="0" shapeId="0">
      <text>
        <t>Source: Market data 5-year monthly regression beta vs S&amp;P 500 (1.33)</t>
      </text>
    </comment>
    <comment ref="B17" authorId="0" shapeId="0">
      <text>
        <t>Source: Standard institutional equity risk premium consensus (5.50%)</t>
      </text>
    </comment>
    <comment ref="B18" authorId="0" shapeId="0">
      <text>
        <t>Source: Estimated commercial borrowing rate benchmark (6.00%)</t>
      </text>
    </comment>
    <comment ref="B52" authorId="1" shapeId="0">
      <text>
        <t>Row 15: 10-Yr US Treasury Yield</t>
      </text>
    </comment>
    <comment ref="B53" authorId="1" shapeId="0">
      <text>
        <t>Row 16: 5-Year Monthly Beta</t>
      </text>
    </comment>
    <comment ref="B54" authorId="1" shapeId="0">
      <text>
        <t>Row 17: Market Equity Risk Premium</t>
      </text>
    </comment>
    <comment ref="B55" authorId="1" shapeId="0">
      <text>
        <t>CAPM Formula: Cost of Equity</t>
      </text>
    </comment>
    <comment ref="B56" authorId="1" shapeId="0">
      <text>
        <t>Row 18: Borrowing rate (~6.00%)</t>
      </text>
    </comment>
    <comment ref="B57" authorId="1" shapeId="0">
      <text>
        <t>Row 14: Corporate tax rate</t>
      </text>
    </comment>
    <comment ref="B58" authorId="1" shapeId="0">
      <text>
        <t>Effective after-tax cost of debt</t>
      </text>
    </comment>
    <comment ref="B59" authorId="1" shapeId="0">
      <text>
        <t>Row 9: Diluted Market Cap</t>
      </text>
    </comment>
    <comment ref="B60" authorId="1" shapeId="0">
      <text>
        <t>Row 11: Total Debt</t>
      </text>
    </comment>
    <comment ref="B61" authorId="1" shapeId="0">
      <text>
        <t>Row 10: Cash and Marketable Securities</t>
      </text>
    </comment>
    <comment ref="B62" authorId="1" shapeId="0">
      <text>
        <t>Row 12: Total Debt - Cash</t>
      </text>
    </comment>
    <comment ref="B63" authorId="1" shapeId="0">
      <text>
        <t>Row 13: Market Cap + Net Debt</t>
      </text>
    </comment>
    <comment ref="B64" authorId="1" shapeId="0">
      <text>
        <t>Discount rate aligned with CAPM unlevered capital structure</t>
      </text>
    </comment>
    <comment ref="B69" authorId="2" shapeId="0">
      <text>
        <t>FY2025 Actual Total Sales YoY Growth (+18.9%)</t>
      </text>
    </comment>
    <comment ref="B70" authorId="2" shapeId="0">
      <text>
        <t>FY2025 Actual Total Revenue ($282.80M)</t>
      </text>
    </comment>
    <comment ref="B71" authorId="2" shapeId="0">
      <text>
        <t>FY2025 Actual Operating Loss Margin (-2.3%)</t>
      </text>
    </comment>
    <comment ref="B72" authorId="2" shapeId="0">
      <text>
        <t>FY2025 Actual Operating Loss ($(6.50)M)</t>
      </text>
    </comment>
    <comment ref="B75" authorId="2" shapeId="0">
      <text>
        <t>FY2025 Actual D&amp;A (~$17.00M)</t>
      </text>
    </comment>
    <comment ref="B76" authorId="2" shapeId="0">
      <text>
        <t>FY2025 Actual CapEx ($42.00M)</t>
      </text>
    </comment>
    <comment ref="B77" authorId="2" shapeId="0">
      <text>
        <t>FY2025 Working Capital change (~$0.50M)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20, 2026 (4.64%)</t>
      </text>
    </comment>
    <comment ref="B6" authorId="0" shapeId="0">
      <text>
        <t>Source: Market data 5-year monthly regression beta vs S&amp;P 500 (1.33)</t>
      </text>
    </comment>
    <comment ref="B7" authorId="0" shapeId="0">
      <text>
        <t>Source: Standard institutional equity risk premium consensus (5.50%)</t>
      </text>
    </comment>
    <comment ref="B11" authorId="0" shapeId="0">
      <text>
        <t>Source: Estimated commercial borrowing rate benchmark (6.00%)</t>
      </text>
    </comment>
    <comment ref="B12" authorId="0" shapeId="0">
      <text>
        <t>Source: US Federal (21%) + State (~4%) statutory corporate tax rate (25.0%)</t>
      </text>
    </comment>
    <comment ref="B17" authorId="0" shapeId="0">
      <text>
        <t>Source: SEC Form 10-K / 10-Q Balance Sheet: KRUS operates with zero funded debt ($0.00M)</t>
      </text>
    </comment>
    <comment ref="B18" authorId="0" shapeId="0">
      <text>
        <t>Source: SEC Form 10-K / 10-Q Balance Sheet total cash and cash equivalents ($50.99M)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Kura Sushi USA, Inc. (NASDAQ: KRUS)</t>
        </is>
      </c>
    </row>
    <row r="2">
      <c r="A2" s="2" t="inlineStr">
        <is>
          <t>Institutional DCF Valuation Model | Report Date: August 20, 2026 | Financial Source: SEC Form 10-K, 10-Q &amp; Consensus Estimates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(Traffic Moderation / Wage Inflation / Capex Drag)",IF(B4=2,"[2] BASE CASE (Steady Store Expansion / G&amp;A Operating Leverage / Tech Automation)","[3] BULL CASE (Accelerated Openings / SSSG Outperformance / Rapid Margin Expansion)"))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50.14</v>
      </c>
    </row>
    <row r="8">
      <c r="A8" s="8" t="inlineStr">
        <is>
          <t>Diluted Shares Outstanding (M)</t>
        </is>
      </c>
      <c r="B8" s="10" t="n">
        <v>12.15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50.99</v>
      </c>
    </row>
    <row r="11">
      <c r="A11" s="8" t="inlineStr">
        <is>
          <t>Total Debt ($M)</t>
        </is>
      </c>
      <c r="B11" s="9" t="n">
        <v>0</v>
      </c>
    </row>
    <row r="12">
      <c r="A12" s="11" t="inlineStr">
        <is>
          <t>Net Debt ($M) [Net Cash if negative]</t>
        </is>
      </c>
      <c r="B12" s="13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4" t="n">
        <v>0.25</v>
      </c>
    </row>
    <row r="15">
      <c r="A15" s="8" t="inlineStr">
        <is>
          <t>Risk-Free Rate (10-Yr US Treasury Yield)</t>
        </is>
      </c>
      <c r="B15" s="15" t="n">
        <v>0.0464</v>
      </c>
    </row>
    <row r="16">
      <c r="A16" s="8" t="inlineStr">
        <is>
          <t>Equity Beta (5-Year Monthly vs S&amp;P 500)</t>
        </is>
      </c>
      <c r="B16" s="16" t="n">
        <v>1.33</v>
      </c>
    </row>
    <row r="17">
      <c r="A17" s="8" t="inlineStr">
        <is>
          <t>Market Equity Risk Premium (ERP)</t>
        </is>
      </c>
      <c r="B17" s="15" t="n">
        <v>0.055</v>
      </c>
    </row>
    <row r="18">
      <c r="A18" s="8" t="inlineStr">
        <is>
          <t>Pre-Tax Cost of Debt (Kd)</t>
        </is>
      </c>
      <c r="B18" s="15" t="n">
        <v>0.06</v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7" t="inlineStr">
        <is>
          <t>Driver / Assumption</t>
        </is>
      </c>
      <c r="B21" s="18" t="inlineStr">
        <is>
          <t>FY2025A</t>
        </is>
      </c>
      <c r="C21" s="18" t="inlineStr">
        <is>
          <t>FY2026E</t>
        </is>
      </c>
      <c r="D21" s="18" t="inlineStr">
        <is>
          <t>FY2027E</t>
        </is>
      </c>
      <c r="E21" s="18" t="inlineStr">
        <is>
          <t>FY2028E</t>
        </is>
      </c>
      <c r="F21" s="18" t="inlineStr">
        <is>
          <t>FY2029E</t>
        </is>
      </c>
      <c r="G21" s="18" t="inlineStr">
        <is>
          <t>FY2030E</t>
        </is>
      </c>
      <c r="H21" s="18" t="inlineStr">
        <is>
          <t>Terminal / WACC</t>
        </is>
      </c>
    </row>
    <row r="22">
      <c r="A22" s="19" t="inlineStr">
        <is>
          <t>Bear Case Assumptions (Selector = 1)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8" t="inlineStr">
        <is>
          <t xml:space="preserve">  Revenue Growth (%)</t>
        </is>
      </c>
      <c r="B23" s="21" t="inlineStr">
        <is>
          <t>—</t>
        </is>
      </c>
      <c r="C23" s="14" t="n">
        <v>0.12</v>
      </c>
      <c r="D23" s="14" t="n">
        <v>0.11</v>
      </c>
      <c r="E23" s="14" t="n">
        <v>0.09</v>
      </c>
      <c r="F23" s="14" t="n">
        <v>0.07000000000000001</v>
      </c>
      <c r="G23" s="14" t="n">
        <v>0.05</v>
      </c>
      <c r="H23" s="14" t="n">
        <v>0.02</v>
      </c>
    </row>
    <row r="24">
      <c r="A24" s="8" t="inlineStr">
        <is>
          <t xml:space="preserve">  EBIT Margin (%)</t>
        </is>
      </c>
      <c r="B24" s="21" t="inlineStr">
        <is>
          <t>—</t>
        </is>
      </c>
      <c r="C24" s="14" t="n">
        <v>-0.015</v>
      </c>
      <c r="D24" s="14" t="n">
        <v>0</v>
      </c>
      <c r="E24" s="14" t="n">
        <v>0.015</v>
      </c>
      <c r="F24" s="14" t="n">
        <v>0.025</v>
      </c>
      <c r="G24" s="14" t="n">
        <v>0.035</v>
      </c>
      <c r="H24" s="15" t="n">
        <v>0.125</v>
      </c>
    </row>
    <row r="25">
      <c r="A25" s="8" t="inlineStr">
        <is>
          <t xml:space="preserve">  D&amp;A (% of Revenue)</t>
        </is>
      </c>
      <c r="B25" s="21" t="inlineStr">
        <is>
          <t>—</t>
        </is>
      </c>
      <c r="C25" s="14" t="n">
        <v>0.06</v>
      </c>
      <c r="D25" s="14" t="n">
        <v>0.06</v>
      </c>
      <c r="E25" s="14" t="n">
        <v>0.06</v>
      </c>
      <c r="F25" s="14" t="n">
        <v>0.06</v>
      </c>
      <c r="G25" s="14" t="n">
        <v>0.06</v>
      </c>
      <c r="H25" s="22" t="inlineStr"/>
    </row>
    <row r="26">
      <c r="A26" s="8" t="inlineStr">
        <is>
          <t xml:space="preserve">  CapEx (% of Revenue)</t>
        </is>
      </c>
      <c r="B26" s="21" t="inlineStr">
        <is>
          <t>—</t>
        </is>
      </c>
      <c r="C26" s="14" t="n">
        <v>0.11</v>
      </c>
      <c r="D26" s="14" t="n">
        <v>0.09</v>
      </c>
      <c r="E26" s="14" t="n">
        <v>0.075</v>
      </c>
      <c r="F26" s="14" t="n">
        <v>0.065</v>
      </c>
      <c r="G26" s="14" t="n">
        <v>0.055</v>
      </c>
      <c r="H26" s="22" t="inlineStr"/>
    </row>
    <row r="27">
      <c r="A27" s="8" t="inlineStr">
        <is>
          <t xml:space="preserve">  Δ NWC (% of Δ Revenue)</t>
        </is>
      </c>
      <c r="B27" s="21" t="inlineStr">
        <is>
          <t>—</t>
        </is>
      </c>
      <c r="C27" s="14" t="n">
        <v>0.01</v>
      </c>
      <c r="D27" s="14" t="n">
        <v>0.01</v>
      </c>
      <c r="E27" s="14" t="n">
        <v>0.01</v>
      </c>
      <c r="F27" s="14" t="n">
        <v>0.01</v>
      </c>
      <c r="G27" s="14" t="n">
        <v>0.01</v>
      </c>
      <c r="H27" s="22" t="inlineStr"/>
    </row>
    <row r="29">
      <c r="A29" s="19" t="inlineStr">
        <is>
          <t>Base Case Assumptions (Selector = 2)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8" t="inlineStr">
        <is>
          <t xml:space="preserve">  Revenue Growth (%)</t>
        </is>
      </c>
      <c r="B30" s="21" t="inlineStr">
        <is>
          <t>—</t>
        </is>
      </c>
      <c r="C30" s="14" t="n">
        <v>0.17</v>
      </c>
      <c r="D30" s="14" t="n">
        <v>0.18</v>
      </c>
      <c r="E30" s="14" t="n">
        <v>0.15</v>
      </c>
      <c r="F30" s="14" t="n">
        <v>0.12</v>
      </c>
      <c r="G30" s="14" t="n">
        <v>0.09</v>
      </c>
      <c r="H30" s="14" t="n">
        <v>0.025</v>
      </c>
    </row>
    <row r="31">
      <c r="A31" s="8" t="inlineStr">
        <is>
          <t xml:space="preserve">  EBIT Margin (%)</t>
        </is>
      </c>
      <c r="B31" s="21" t="inlineStr">
        <is>
          <t>—</t>
        </is>
      </c>
      <c r="C31" s="14" t="n">
        <v>0.005</v>
      </c>
      <c r="D31" s="14" t="n">
        <v>0.025</v>
      </c>
      <c r="E31" s="14" t="n">
        <v>0.045</v>
      </c>
      <c r="F31" s="14" t="n">
        <v>0.06</v>
      </c>
      <c r="G31" s="14" t="n">
        <v>0.07000000000000001</v>
      </c>
      <c r="H31" s="15" t="n">
        <v>0.1196</v>
      </c>
    </row>
    <row r="32">
      <c r="A32" s="8" t="inlineStr">
        <is>
          <t xml:space="preserve">  D&amp;A (% of Revenue)</t>
        </is>
      </c>
      <c r="B32" s="21" t="inlineStr">
        <is>
          <t>—</t>
        </is>
      </c>
      <c r="C32" s="14" t="n">
        <v>0.06</v>
      </c>
      <c r="D32" s="14" t="n">
        <v>0.06</v>
      </c>
      <c r="E32" s="14" t="n">
        <v>0.06</v>
      </c>
      <c r="F32" s="14" t="n">
        <v>0.06</v>
      </c>
      <c r="G32" s="14" t="n">
        <v>0.06</v>
      </c>
      <c r="H32" s="22" t="inlineStr"/>
    </row>
    <row r="33">
      <c r="A33" s="8" t="inlineStr">
        <is>
          <t xml:space="preserve">  CapEx (% of Revenue)</t>
        </is>
      </c>
      <c r="B33" s="21" t="inlineStr">
        <is>
          <t>—</t>
        </is>
      </c>
      <c r="C33" s="14" t="n">
        <v>0.12</v>
      </c>
      <c r="D33" s="14" t="n">
        <v>0.1</v>
      </c>
      <c r="E33" s="14" t="n">
        <v>0.08500000000000001</v>
      </c>
      <c r="F33" s="14" t="n">
        <v>0.07000000000000001</v>
      </c>
      <c r="G33" s="14" t="n">
        <v>0.06</v>
      </c>
      <c r="H33" s="22" t="inlineStr"/>
    </row>
    <row r="34">
      <c r="A34" s="8" t="inlineStr">
        <is>
          <t xml:space="preserve">  Δ NWC (% of Δ Revenue)</t>
        </is>
      </c>
      <c r="B34" s="21" t="inlineStr">
        <is>
          <t>—</t>
        </is>
      </c>
      <c r="C34" s="14" t="n">
        <v>0.01</v>
      </c>
      <c r="D34" s="14" t="n">
        <v>0.01</v>
      </c>
      <c r="E34" s="14" t="n">
        <v>0.01</v>
      </c>
      <c r="F34" s="14" t="n">
        <v>0.01</v>
      </c>
      <c r="G34" s="14" t="n">
        <v>0.01</v>
      </c>
      <c r="H34" s="22" t="inlineStr"/>
    </row>
    <row r="36">
      <c r="A36" s="19" t="inlineStr">
        <is>
          <t>Bull Case Assumptions (Selector = 3)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8" t="inlineStr">
        <is>
          <t xml:space="preserve">  Revenue Growth (%)</t>
        </is>
      </c>
      <c r="B37" s="21" t="inlineStr">
        <is>
          <t>—</t>
        </is>
      </c>
      <c r="C37" s="14" t="n">
        <v>0.21</v>
      </c>
      <c r="D37" s="14" t="n">
        <v>0.22</v>
      </c>
      <c r="E37" s="14" t="n">
        <v>0.18</v>
      </c>
      <c r="F37" s="14" t="n">
        <v>0.15</v>
      </c>
      <c r="G37" s="14" t="n">
        <v>0.12</v>
      </c>
      <c r="H37" s="14" t="n">
        <v>0.03</v>
      </c>
    </row>
    <row r="38">
      <c r="A38" s="8" t="inlineStr">
        <is>
          <t xml:space="preserve">  EBIT Margin (%)</t>
        </is>
      </c>
      <c r="B38" s="21" t="inlineStr">
        <is>
          <t>—</t>
        </is>
      </c>
      <c r="C38" s="14" t="n">
        <v>0.02</v>
      </c>
      <c r="D38" s="14" t="n">
        <v>0.045</v>
      </c>
      <c r="E38" s="14" t="n">
        <v>0.065</v>
      </c>
      <c r="F38" s="14" t="n">
        <v>0.08</v>
      </c>
      <c r="G38" s="14" t="n">
        <v>0.095</v>
      </c>
      <c r="H38" s="15" t="n">
        <v>0.115</v>
      </c>
    </row>
    <row r="39">
      <c r="A39" s="8" t="inlineStr">
        <is>
          <t xml:space="preserve">  D&amp;A (% of Revenue)</t>
        </is>
      </c>
      <c r="B39" s="21" t="inlineStr">
        <is>
          <t>—</t>
        </is>
      </c>
      <c r="C39" s="14" t="n">
        <v>0.06</v>
      </c>
      <c r="D39" s="14" t="n">
        <v>0.06</v>
      </c>
      <c r="E39" s="14" t="n">
        <v>0.06</v>
      </c>
      <c r="F39" s="14" t="n">
        <v>0.06</v>
      </c>
      <c r="G39" s="14" t="n">
        <v>0.06</v>
      </c>
      <c r="H39" s="22" t="inlineStr"/>
    </row>
    <row r="40">
      <c r="A40" s="8" t="inlineStr">
        <is>
          <t xml:space="preserve">  CapEx (% of Revenue)</t>
        </is>
      </c>
      <c r="B40" s="21" t="inlineStr">
        <is>
          <t>—</t>
        </is>
      </c>
      <c r="C40" s="14" t="n">
        <v>0.13</v>
      </c>
      <c r="D40" s="14" t="n">
        <v>0.11</v>
      </c>
      <c r="E40" s="14" t="n">
        <v>0.09</v>
      </c>
      <c r="F40" s="14" t="n">
        <v>0.075</v>
      </c>
      <c r="G40" s="14" t="n">
        <v>0.065</v>
      </c>
      <c r="H40" s="22" t="inlineStr"/>
    </row>
    <row r="41">
      <c r="A41" s="8" t="inlineStr">
        <is>
          <t xml:space="preserve">  Δ NWC (% of Δ Revenue)</t>
        </is>
      </c>
      <c r="B41" s="21" t="inlineStr">
        <is>
          <t>—</t>
        </is>
      </c>
      <c r="C41" s="14" t="n">
        <v>0.01</v>
      </c>
      <c r="D41" s="14" t="n">
        <v>0.01</v>
      </c>
      <c r="E41" s="14" t="n">
        <v>0.01</v>
      </c>
      <c r="F41" s="14" t="n">
        <v>0.01</v>
      </c>
      <c r="G41" s="14" t="n">
        <v>0.01</v>
      </c>
      <c r="H41" s="22" t="inlineStr"/>
    </row>
    <row r="43">
      <c r="A43" s="23" t="inlineStr">
        <is>
          <t>Active Scenario Consolidated Drivers (Dynamic)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1" t="inlineStr">
        <is>
          <t>—</t>
        </is>
      </c>
      <c r="C44" s="25">
        <f>CHOOSE($B$4, C23, C30, C37)</f>
        <v/>
      </c>
      <c r="D44" s="25">
        <f>CHOOSE($B$4, D23, D30, D37)</f>
        <v/>
      </c>
      <c r="E44" s="25">
        <f>CHOOSE($B$4, E23, E30, E37)</f>
        <v/>
      </c>
      <c r="F44" s="25">
        <f>CHOOSE($B$4, F23, F30, F37)</f>
        <v/>
      </c>
      <c r="G44" s="25">
        <f>CHOOSE($B$4, G23, G30, G37)</f>
        <v/>
      </c>
      <c r="H44" s="25">
        <f>CHOOSE($B$4, H23, H30, H37)</f>
        <v/>
      </c>
    </row>
    <row r="45">
      <c r="A45" s="11" t="inlineStr">
        <is>
          <t xml:space="preserve">  Active EBIT Margin (%)</t>
        </is>
      </c>
      <c r="B45" s="21" t="inlineStr">
        <is>
          <t>—</t>
        </is>
      </c>
      <c r="C45" s="25">
        <f>CHOOSE($B$4, C24, C31, C38)</f>
        <v/>
      </c>
      <c r="D45" s="25">
        <f>CHOOSE($B$4, D24, D31, D38)</f>
        <v/>
      </c>
      <c r="E45" s="25">
        <f>CHOOSE($B$4, E24, E31, E38)</f>
        <v/>
      </c>
      <c r="F45" s="25">
        <f>CHOOSE($B$4, F24, F31, F38)</f>
        <v/>
      </c>
      <c r="G45" s="25">
        <f>CHOOSE($B$4, G24, G31, G38)</f>
        <v/>
      </c>
      <c r="H45" s="26">
        <f>CHOOSE($B$4, H24, H31, H38)</f>
        <v/>
      </c>
    </row>
    <row r="46">
      <c r="A46" s="11" t="inlineStr">
        <is>
          <t xml:space="preserve">  Active D&amp;A (% of Revenue)</t>
        </is>
      </c>
      <c r="B46" s="21" t="inlineStr">
        <is>
          <t>—</t>
        </is>
      </c>
      <c r="C46" s="25">
        <f>CHOOSE($B$4, C25, C32, C39)</f>
        <v/>
      </c>
      <c r="D46" s="25">
        <f>CHOOSE($B$4, D25, D32, D39)</f>
        <v/>
      </c>
      <c r="E46" s="25">
        <f>CHOOSE($B$4, E25, E32, E39)</f>
        <v/>
      </c>
      <c r="F46" s="25">
        <f>CHOOSE($B$4, F25, F32, F39)</f>
        <v/>
      </c>
      <c r="G46" s="25">
        <f>CHOOSE($B$4, G25, G32, G39)</f>
        <v/>
      </c>
      <c r="H46" s="22" t="inlineStr"/>
    </row>
    <row r="47">
      <c r="A47" s="11" t="inlineStr">
        <is>
          <t xml:space="preserve">  Active CapEx (% of Revenue)</t>
        </is>
      </c>
      <c r="B47" s="21" t="inlineStr">
        <is>
          <t>—</t>
        </is>
      </c>
      <c r="C47" s="25">
        <f>CHOOSE($B$4, C26, C33, C40)</f>
        <v/>
      </c>
      <c r="D47" s="25">
        <f>CHOOSE($B$4, D26, D33, D40)</f>
        <v/>
      </c>
      <c r="E47" s="25">
        <f>CHOOSE($B$4, E26, E33, E40)</f>
        <v/>
      </c>
      <c r="F47" s="25">
        <f>CHOOSE($B$4, F26, F33, F40)</f>
        <v/>
      </c>
      <c r="G47" s="25">
        <f>CHOOSE($B$4, G26, G33, G40)</f>
        <v/>
      </c>
      <c r="H47" s="22" t="inlineStr"/>
    </row>
    <row r="48">
      <c r="A48" s="11" t="inlineStr">
        <is>
          <t xml:space="preserve">  Active Δ NWC (% of Δ Rev)</t>
        </is>
      </c>
      <c r="B48" s="21" t="inlineStr">
        <is>
          <t>—</t>
        </is>
      </c>
      <c r="C48" s="25">
        <f>CHOOSE($B$4, C27, C34, C41)</f>
        <v/>
      </c>
      <c r="D48" s="25">
        <f>CHOOSE($B$4, D27, D34, D41)</f>
        <v/>
      </c>
      <c r="E48" s="25">
        <f>CHOOSE($B$4, E27, E34, E41)</f>
        <v/>
      </c>
      <c r="F48" s="25">
        <f>CHOOSE($B$4, F27, F34, F41)</f>
        <v/>
      </c>
      <c r="G48" s="25">
        <f>CHOOSE($B$4, G27, G34, G41)</f>
        <v/>
      </c>
      <c r="H48" s="22" t="inlineStr"/>
    </row>
    <row r="51">
      <c r="A51" s="6" t="inlineStr">
        <is>
          <t>III. COST OF CAPITAL (WACC) PARAMETERS &amp; SCHEDULE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8" t="inlineStr">
        <is>
          <t>Risk-Free Rate (Rf)</t>
        </is>
      </c>
      <c r="B52" s="27">
        <f>$B$15</f>
        <v/>
      </c>
    </row>
    <row r="53">
      <c r="A53" s="8" t="inlineStr">
        <is>
          <t>Equity Beta (β)</t>
        </is>
      </c>
      <c r="B53" s="28">
        <f>$B$16</f>
        <v/>
      </c>
    </row>
    <row r="54">
      <c r="A54" s="8" t="inlineStr">
        <is>
          <t>Equity Risk Premium (ERP)</t>
        </is>
      </c>
      <c r="B54" s="27">
        <f>$B$17</f>
        <v/>
      </c>
    </row>
    <row r="55">
      <c r="A55" s="23" t="inlineStr">
        <is>
          <t>Cost of Equity (Ke) [Rf + β * ERP]</t>
        </is>
      </c>
      <c r="B55" s="29">
        <f>B52+B53*B54</f>
        <v/>
      </c>
    </row>
    <row r="56">
      <c r="A56" s="8" t="inlineStr">
        <is>
          <t>Pre-Tax Cost of Debt (Kd)</t>
        </is>
      </c>
      <c r="B56" s="27">
        <f>$B$18</f>
        <v/>
      </c>
    </row>
    <row r="57">
      <c r="A57" s="8" t="inlineStr">
        <is>
          <t>Effective Corporate Tax Rate (t)</t>
        </is>
      </c>
      <c r="B57" s="30">
        <f>$B$14</f>
        <v/>
      </c>
    </row>
    <row r="58">
      <c r="A58" s="8" t="inlineStr">
        <is>
          <t>After-Tax Cost of Debt [Kd * (1 - t)]</t>
        </is>
      </c>
      <c r="B58" s="27">
        <f>B56*(1-B57)</f>
        <v/>
      </c>
    </row>
    <row r="59">
      <c r="A59" s="8" t="inlineStr">
        <is>
          <t>Market Capitalization (Equity Value) ($M)</t>
        </is>
      </c>
      <c r="B59" s="31">
        <f>$B$9</f>
        <v/>
      </c>
    </row>
    <row r="60">
      <c r="A60" s="8" t="inlineStr">
        <is>
          <t>Total Debt ($M)</t>
        </is>
      </c>
      <c r="B60" s="31">
        <f>$B$11</f>
        <v/>
      </c>
    </row>
    <row r="61">
      <c r="A61" s="8" t="inlineStr">
        <is>
          <t>Cash and Cash Equivalents ($M)</t>
        </is>
      </c>
      <c r="B61" s="31">
        <f>$B$10</f>
        <v/>
      </c>
    </row>
    <row r="62">
      <c r="A62" s="8" t="inlineStr">
        <is>
          <t>Net Debt ($M)</t>
        </is>
      </c>
      <c r="B62" s="32">
        <f>B60-B61</f>
        <v/>
      </c>
    </row>
    <row r="63">
      <c r="A63" s="8" t="inlineStr">
        <is>
          <t>Enterprise Value (EV) ($M)</t>
        </is>
      </c>
      <c r="B63" s="31">
        <f>B59+B62</f>
        <v/>
      </c>
    </row>
    <row r="64">
      <c r="A64" s="23" t="inlineStr">
        <is>
          <t>Selected DCF Discount Rate (WACC)</t>
        </is>
      </c>
      <c r="B64" s="29">
        <f>'WACC Build'!E26</f>
        <v/>
      </c>
    </row>
    <row r="67">
      <c r="A67" s="6" t="inlineStr">
        <is>
          <t>IV. UNLEVERED FREE CASH FLOW (UFCF) PROJECTIONS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17" t="inlineStr">
        <is>
          <t>Line Item ($M)</t>
        </is>
      </c>
      <c r="B68" s="18" t="inlineStr">
        <is>
          <t>FY2025A</t>
        </is>
      </c>
      <c r="C68" s="18" t="inlineStr">
        <is>
          <t>FY2026E</t>
        </is>
      </c>
      <c r="D68" s="18" t="inlineStr">
        <is>
          <t>FY2027E</t>
        </is>
      </c>
      <c r="E68" s="18" t="inlineStr">
        <is>
          <t>FY2028E</t>
        </is>
      </c>
      <c r="F68" s="18" t="inlineStr">
        <is>
          <t>FY2029E</t>
        </is>
      </c>
      <c r="G68" s="18" t="inlineStr">
        <is>
          <t>FY2030E</t>
        </is>
      </c>
    </row>
    <row r="69">
      <c r="A69" s="8" t="inlineStr">
        <is>
          <t>Revenue Growth Rate (%)</t>
        </is>
      </c>
      <c r="B69" s="14" t="n">
        <v>0.189</v>
      </c>
      <c r="C69" s="30">
        <f>C44</f>
        <v/>
      </c>
      <c r="D69" s="30">
        <f>D44</f>
        <v/>
      </c>
      <c r="E69" s="30">
        <f>E44</f>
        <v/>
      </c>
      <c r="F69" s="30">
        <f>F44</f>
        <v/>
      </c>
      <c r="G69" s="30">
        <f>G44</f>
        <v/>
      </c>
    </row>
    <row r="70">
      <c r="A70" s="11" t="inlineStr">
        <is>
          <t>Total Revenue ($M)</t>
        </is>
      </c>
      <c r="B70" s="33" t="n">
        <v>282.8</v>
      </c>
      <c r="C70" s="12">
        <f>B70*(1+C69)</f>
        <v/>
      </c>
      <c r="D70" s="12">
        <f>C70*(1+D69)</f>
        <v/>
      </c>
      <c r="E70" s="12">
        <f>D70*(1+E69)</f>
        <v/>
      </c>
      <c r="F70" s="12">
        <f>E70*(1+F69)</f>
        <v/>
      </c>
      <c r="G70" s="12">
        <f>F70*(1+G69)</f>
        <v/>
      </c>
    </row>
    <row r="71">
      <c r="A71" s="8" t="inlineStr">
        <is>
          <t>EBIT Margin (%)</t>
        </is>
      </c>
      <c r="B71" s="34" t="n">
        <v>-0.023</v>
      </c>
      <c r="C71" s="30">
        <f>C45</f>
        <v/>
      </c>
      <c r="D71" s="30">
        <f>D45</f>
        <v/>
      </c>
      <c r="E71" s="30">
        <f>E45</f>
        <v/>
      </c>
      <c r="F71" s="30">
        <f>F45</f>
        <v/>
      </c>
      <c r="G71" s="30">
        <f>G45</f>
        <v/>
      </c>
    </row>
    <row r="72">
      <c r="A72" s="11" t="inlineStr">
        <is>
          <t>Operating Income / (Loss) (EBIT) ($M)</t>
        </is>
      </c>
      <c r="B72" s="35" t="n">
        <v>-6.5</v>
      </c>
      <c r="C72" s="13">
        <f>C70*C71</f>
        <v/>
      </c>
      <c r="D72" s="13">
        <f>D70*D71</f>
        <v/>
      </c>
      <c r="E72" s="13">
        <f>E70*E71</f>
        <v/>
      </c>
      <c r="F72" s="13">
        <f>F70*F71</f>
        <v/>
      </c>
      <c r="G72" s="13">
        <f>G70*G71</f>
        <v/>
      </c>
    </row>
    <row r="73">
      <c r="A73" s="8" t="inlineStr">
        <is>
          <t>(-) Provision for Taxes ($M)</t>
        </is>
      </c>
      <c r="B73" s="36" t="n">
        <v>0</v>
      </c>
      <c r="C73" s="36">
        <f>MAX(0, C72*$B$14)</f>
        <v/>
      </c>
      <c r="D73" s="36">
        <f>MAX(0, D72*$B$14)</f>
        <v/>
      </c>
      <c r="E73" s="36">
        <f>MAX(0, E72*$B$14)</f>
        <v/>
      </c>
      <c r="F73" s="36">
        <f>MAX(0, F72*$B$14)</f>
        <v/>
      </c>
      <c r="G73" s="36">
        <f>MAX(0, G72*$B$14)</f>
        <v/>
      </c>
    </row>
    <row r="74">
      <c r="A74" s="11" t="inlineStr">
        <is>
          <t>Net Operating Profit After Tax (NOPAT) ($M)</t>
        </is>
      </c>
      <c r="B74" s="13" t="n">
        <v>-6.5</v>
      </c>
      <c r="C74" s="13">
        <f>C72-C73</f>
        <v/>
      </c>
      <c r="D74" s="13">
        <f>D72-D73</f>
        <v/>
      </c>
      <c r="E74" s="13">
        <f>E72-E73</f>
        <v/>
      </c>
      <c r="F74" s="13">
        <f>F72-F73</f>
        <v/>
      </c>
      <c r="G74" s="13">
        <f>G72-G73</f>
        <v/>
      </c>
    </row>
    <row r="75">
      <c r="A75" s="8" t="inlineStr">
        <is>
          <t>(+) Depreciation &amp; Amortization (D&amp;A) ($M)</t>
        </is>
      </c>
      <c r="B75" s="9" t="n">
        <v>17</v>
      </c>
      <c r="C75" s="31">
        <f>C70*C46</f>
        <v/>
      </c>
      <c r="D75" s="31">
        <f>D70*D46</f>
        <v/>
      </c>
      <c r="E75" s="31">
        <f>E70*E46</f>
        <v/>
      </c>
      <c r="F75" s="31">
        <f>F70*F46</f>
        <v/>
      </c>
      <c r="G75" s="31">
        <f>G70*G46</f>
        <v/>
      </c>
    </row>
    <row r="76">
      <c r="A76" s="8" t="inlineStr">
        <is>
          <t>(-) Capital Expenditures (CapEx) ($M)</t>
        </is>
      </c>
      <c r="B76" s="37" t="n">
        <v>42</v>
      </c>
      <c r="C76" s="36">
        <f>C70*C47</f>
        <v/>
      </c>
      <c r="D76" s="36">
        <f>D70*D47</f>
        <v/>
      </c>
      <c r="E76" s="36">
        <f>E70*E47</f>
        <v/>
      </c>
      <c r="F76" s="36">
        <f>F70*F47</f>
        <v/>
      </c>
      <c r="G76" s="36">
        <f>G70*G47</f>
        <v/>
      </c>
    </row>
    <row r="77">
      <c r="A77" s="8" t="inlineStr">
        <is>
          <t>(-) Change in Net Working Capital (Δ NWC) ($M)</t>
        </is>
      </c>
      <c r="B77" s="37" t="n">
        <v>0.5</v>
      </c>
      <c r="C77" s="36">
        <f>(C70-B70)*C48</f>
        <v/>
      </c>
      <c r="D77" s="36">
        <f>(D70-C70)*D48</f>
        <v/>
      </c>
      <c r="E77" s="36">
        <f>(E70-D70)*E48</f>
        <v/>
      </c>
      <c r="F77" s="36">
        <f>(F70-E70)*F48</f>
        <v/>
      </c>
      <c r="G77" s="36">
        <f>(G70-F70)*G48</f>
        <v/>
      </c>
    </row>
    <row r="78">
      <c r="A78" s="38" t="inlineStr">
        <is>
          <t>Unlevered Free Cash Flow (UFCF) ($M)</t>
        </is>
      </c>
      <c r="B78" s="39" t="n">
        <v>-32</v>
      </c>
      <c r="C78" s="39">
        <f>C74+C75-C76-C77</f>
        <v/>
      </c>
      <c r="D78" s="39">
        <f>D74+D75-D76-D77</f>
        <v/>
      </c>
      <c r="E78" s="39">
        <f>E74+E75-E76-E77</f>
        <v/>
      </c>
      <c r="F78" s="39">
        <f>F74+F75-F76-F77</f>
        <v/>
      </c>
      <c r="G78" s="39">
        <f>G74+G75-G76-G77</f>
        <v/>
      </c>
    </row>
    <row r="81">
      <c r="A81" s="6" t="inlineStr">
        <is>
          <t>V. DISCOUNTING &amp; PRESENT VALUE (MID-YEAR CONVENTION)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17" t="inlineStr">
        <is>
          <t>Discount Parameters</t>
        </is>
      </c>
      <c r="B82" s="17" t="inlineStr"/>
      <c r="C82" s="18" t="inlineStr">
        <is>
          <t>Year 1 (FY26E)</t>
        </is>
      </c>
      <c r="D82" s="18" t="inlineStr">
        <is>
          <t>Year 2 (FY27E)</t>
        </is>
      </c>
      <c r="E82" s="18" t="inlineStr">
        <is>
          <t>Year 3 (FY28E)</t>
        </is>
      </c>
      <c r="F82" s="18" t="inlineStr">
        <is>
          <t>Year 4 (FY29E)</t>
        </is>
      </c>
      <c r="G82" s="18" t="inlineStr">
        <is>
          <t>Year 5 (FY30E)</t>
        </is>
      </c>
    </row>
    <row r="83">
      <c r="A83" s="8" t="inlineStr">
        <is>
          <t>Discount Period (Years - Mid-Year Convention)</t>
        </is>
      </c>
      <c r="B83" s="22" t="inlineStr"/>
      <c r="C83" s="40" t="n">
        <v>0.5</v>
      </c>
      <c r="D83" s="40" t="n">
        <v>1.5</v>
      </c>
      <c r="E83" s="40" t="n">
        <v>2.5</v>
      </c>
      <c r="F83" s="40" t="n">
        <v>3.5</v>
      </c>
      <c r="G83" s="40" t="n">
        <v>4.5</v>
      </c>
    </row>
    <row r="84">
      <c r="A84" s="8" t="inlineStr">
        <is>
          <t>Discount Factor [ 1 / (1 + WACC)^t ]</t>
        </is>
      </c>
      <c r="B84" s="22" t="inlineStr"/>
      <c r="C84" s="41">
        <f>1/(1+$B$64)^C83</f>
        <v/>
      </c>
      <c r="D84" s="41">
        <f>1/(1+$B$64)^D83</f>
        <v/>
      </c>
      <c r="E84" s="41">
        <f>1/(1+$B$64)^E83</f>
        <v/>
      </c>
      <c r="F84" s="41">
        <f>1/(1+$B$64)^F83</f>
        <v/>
      </c>
      <c r="G84" s="41">
        <f>1/(1+$B$64)^G83</f>
        <v/>
      </c>
    </row>
    <row r="85">
      <c r="A85" s="11" t="inlineStr">
        <is>
          <t>Present Value of UFCF ($M)</t>
        </is>
      </c>
      <c r="B85" s="22" t="inlineStr"/>
      <c r="C85" s="13">
        <f>C78*C84</f>
        <v/>
      </c>
      <c r="D85" s="13">
        <f>D78*D84</f>
        <v/>
      </c>
      <c r="E85" s="13">
        <f>E78*E84</f>
        <v/>
      </c>
      <c r="F85" s="13">
        <f>F78*F84</f>
        <v/>
      </c>
      <c r="G85" s="13">
        <f>G78*G84</f>
        <v/>
      </c>
    </row>
    <row r="86">
      <c r="A86" s="42" t="inlineStr">
        <is>
          <t>Cumulative PV of 5-Year Explicit Cash Flows ($M)</t>
        </is>
      </c>
      <c r="B86" s="43">
        <f>SUM(C85:G85)</f>
        <v/>
      </c>
      <c r="C86" s="44" t="n"/>
      <c r="D86" s="44" t="n"/>
      <c r="E86" s="44" t="n"/>
      <c r="F86" s="44" t="n"/>
      <c r="G86" s="44" t="n"/>
    </row>
    <row r="88">
      <c r="A88" s="6" t="inlineStr">
        <is>
          <t>VI. TERMINAL VALUE &amp; VALUATION SUMMARY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19" t="inlineStr">
        <is>
          <t>Terminal Value Assumptions &amp; Calculation: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8" t="inlineStr">
        <is>
          <t xml:space="preserve">  Final Year Projected UFCF (FY2030E) ($M)</t>
        </is>
      </c>
      <c r="B90" s="32">
        <f>G78</f>
        <v/>
      </c>
    </row>
    <row r="91">
      <c r="A91" s="8" t="inlineStr">
        <is>
          <t xml:space="preserve">  Perpetual Terminal Growth Rate (g)</t>
        </is>
      </c>
      <c r="B91" s="30">
        <f>$H$44</f>
        <v/>
      </c>
    </row>
    <row r="92">
      <c r="A92" s="8" t="inlineStr">
        <is>
          <t xml:space="preserve">  WACC (Discount Rate)</t>
        </is>
      </c>
      <c r="B92" s="27">
        <f>$B$64</f>
        <v/>
      </c>
    </row>
    <row r="93">
      <c r="A93" s="8" t="inlineStr">
        <is>
          <t xml:space="preserve">  Terminal Year Cash Flow ($M)</t>
        </is>
      </c>
      <c r="B93" s="31">
        <f>B90*(1+B91)</f>
        <v/>
      </c>
    </row>
    <row r="94">
      <c r="A94" s="8" t="inlineStr">
        <is>
          <t xml:space="preserve">  Terminal Value at FY2030E ($M)</t>
        </is>
      </c>
      <c r="B94" s="31">
        <f>B93/(B92-B91)</f>
        <v/>
      </c>
    </row>
    <row r="95">
      <c r="A95" s="8" t="inlineStr">
        <is>
          <t xml:space="preserve">  PV of Terminal Value ($M)</t>
        </is>
      </c>
      <c r="B95" s="31">
        <f>B94/(1+B92)^4.5</f>
        <v/>
      </c>
    </row>
    <row r="96">
      <c r="A96" s="8" t="inlineStr">
        <is>
          <t xml:space="preserve">  Terminal Value as % of Enterprise Value</t>
        </is>
      </c>
      <c r="B96" s="30">
        <f>B95/B100</f>
        <v/>
      </c>
    </row>
    <row r="97">
      <c r="A97" s="19" t="inlineStr">
        <is>
          <t>Enterprise Value to Equity Value Bridge ($M):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8" t="inlineStr">
        <is>
          <t xml:space="preserve">  PV of Explicit 5-Year Cash Flows ($M)</t>
        </is>
      </c>
      <c r="B98" s="32">
        <f>B86</f>
        <v/>
      </c>
    </row>
    <row r="99">
      <c r="A99" s="8" t="inlineStr">
        <is>
          <t xml:space="preserve">  (+) PV of Terminal Value ($M)</t>
        </is>
      </c>
      <c r="B99" s="31">
        <f>B95</f>
        <v/>
      </c>
    </row>
    <row r="100">
      <c r="A100" s="23" t="inlineStr">
        <is>
          <t>Enterprise Value (EV) ($M)</t>
        </is>
      </c>
      <c r="B100" s="45">
        <f>B98+B99</f>
        <v/>
      </c>
    </row>
    <row r="101">
      <c r="A101" s="8" t="inlineStr">
        <is>
          <t xml:space="preserve">  (-) Total Debt ($M)</t>
        </is>
      </c>
      <c r="B101" s="36">
        <f>$B$11</f>
        <v/>
      </c>
    </row>
    <row r="102">
      <c r="A102" s="8" t="inlineStr">
        <is>
          <t xml:space="preserve">  (+) Total Cash &amp; Equivalents ($M)</t>
        </is>
      </c>
      <c r="B102" s="31">
        <f>$B$10</f>
        <v/>
      </c>
    </row>
    <row r="103">
      <c r="A103" s="8" t="inlineStr">
        <is>
          <t xml:space="preserve">  (-) Net Debt ($M)</t>
        </is>
      </c>
      <c r="B103" s="32">
        <f>$B$12</f>
        <v/>
      </c>
    </row>
    <row r="104">
      <c r="A104" s="23" t="inlineStr">
        <is>
          <t>Implied Equity Value ($M)</t>
        </is>
      </c>
      <c r="B104" s="46">
        <f>B100-B103</f>
        <v/>
      </c>
    </row>
    <row r="105">
      <c r="A105" s="8" t="inlineStr">
        <is>
          <t xml:space="preserve">  Diluted Shares Outstanding (M)</t>
        </is>
      </c>
      <c r="B105" s="47">
        <f>$B$8</f>
        <v/>
      </c>
    </row>
    <row r="106">
      <c r="A106" s="23" t="inlineStr">
        <is>
          <t>Implied Price per Share ($)</t>
        </is>
      </c>
      <c r="B106" s="46">
        <f>B104/B105</f>
        <v/>
      </c>
    </row>
    <row r="107">
      <c r="A107" s="8" t="inlineStr">
        <is>
          <t>Current Market Share Price ($)</t>
        </is>
      </c>
      <c r="B107" s="31">
        <f>$B$7</f>
        <v/>
      </c>
    </row>
    <row r="108">
      <c r="A108" s="23" t="inlineStr">
        <is>
          <t>Implied Upside / (Downside) (%)</t>
        </is>
      </c>
      <c r="B108" s="48">
        <f>(B106/B107)-1</f>
        <v/>
      </c>
    </row>
    <row r="111">
      <c r="A111" s="6" t="inlineStr">
        <is>
          <t>VII. SENSITIVITY ANALYSIS (5x5 INSTITUTIONAL VALUATION GRIDS)</t>
        </is>
      </c>
      <c r="B111" s="7" t="n"/>
      <c r="C111" s="7" t="n"/>
      <c r="D111" s="7" t="n"/>
      <c r="E111" s="7" t="n"/>
      <c r="F111" s="7" t="n"/>
      <c r="G111" s="7" t="n"/>
      <c r="H111" s="7" t="n"/>
    </row>
    <row r="112">
      <c r="A112" s="49" t="inlineStr">
        <is>
          <t>Sensitivity Table 1: Implied Share Price ($) vs. WACC and Perpetual Terminal Growth Rate (g)</t>
        </is>
      </c>
    </row>
    <row r="113">
      <c r="A113" s="18" t="inlineStr">
        <is>
          <t>WACC \ g</t>
        </is>
      </c>
      <c r="B113" s="50" t="n">
        <v>0.015</v>
      </c>
      <c r="C113" s="50" t="n">
        <v>0.02</v>
      </c>
      <c r="D113" s="51" t="n">
        <v>0.025</v>
      </c>
      <c r="E113" s="50" t="n">
        <v>0.03</v>
      </c>
      <c r="F113" s="50" t="n">
        <v>0.035</v>
      </c>
    </row>
    <row r="114">
      <c r="A114" s="52" t="n">
        <v>0.1</v>
      </c>
      <c r="B114" s="32">
        <f>(($C$78/(1+$A114)^0.5 + $D$78/(1+$A114)^1.5 + $E$78/(1+$A114)^2.5 + $F$78/(1+$A114)^3.5 + $G$78/(1+$A114)^4.5 + ($G$78*(1+B$113)/($A114-B$113))/(1+$A114)^4.5) - $B$12)/$B$8</f>
        <v/>
      </c>
      <c r="C114" s="32">
        <f>(($C$78/(1+$A114)^0.5 + $D$78/(1+$A114)^1.5 + $E$78/(1+$A114)^2.5 + $F$78/(1+$A114)^3.5 + $G$78/(1+$A114)^4.5 + ($G$78*(1+C$113)/($A114-C$113))/(1+$A114)^4.5) - $B$12)/$B$8</f>
        <v/>
      </c>
      <c r="D114" s="32">
        <f>(($C$78/(1+$A114)^0.5 + $D$78/(1+$A114)^1.5 + $E$78/(1+$A114)^2.5 + $F$78/(1+$A114)^3.5 + $G$78/(1+$A114)^4.5 + ($G$78*(1+D$113)/($A114-D$113))/(1+$A114)^4.5) - $B$12)/$B$8</f>
        <v/>
      </c>
      <c r="E114" s="32">
        <f>(($C$78/(1+$A114)^0.5 + $D$78/(1+$A114)^1.5 + $E$78/(1+$A114)^2.5 + $F$78/(1+$A114)^3.5 + $G$78/(1+$A114)^4.5 + ($G$78*(1+E$113)/($A114-E$113))/(1+$A114)^4.5) - $B$12)/$B$8</f>
        <v/>
      </c>
      <c r="F114" s="32">
        <f>(($C$78/(1+$A114)^0.5 + $D$78/(1+$A114)^1.5 + $E$78/(1+$A114)^2.5 + $F$78/(1+$A114)^3.5 + $G$78/(1+$A114)^4.5 + ($G$78*(1+F$113)/($A114-F$113))/(1+$A114)^4.5) - $B$12)/$B$8</f>
        <v/>
      </c>
    </row>
    <row r="115">
      <c r="A115" s="52" t="n">
        <v>0.11</v>
      </c>
      <c r="B115" s="32">
        <f>(($C$78/(1+$A115)^0.5 + $D$78/(1+$A115)^1.5 + $E$78/(1+$A115)^2.5 + $F$78/(1+$A115)^3.5 + $G$78/(1+$A115)^4.5 + ($G$78*(1+B$113)/($A115-B$113))/(1+$A115)^4.5) - $B$12)/$B$8</f>
        <v/>
      </c>
      <c r="C115" s="32">
        <f>(($C$78/(1+$A115)^0.5 + $D$78/(1+$A115)^1.5 + $E$78/(1+$A115)^2.5 + $F$78/(1+$A115)^3.5 + $G$78/(1+$A115)^4.5 + ($G$78*(1+C$113)/($A115-C$113))/(1+$A115)^4.5) - $B$12)/$B$8</f>
        <v/>
      </c>
      <c r="D115" s="32">
        <f>(($C$78/(1+$A115)^0.5 + $D$78/(1+$A115)^1.5 + $E$78/(1+$A115)^2.5 + $F$78/(1+$A115)^3.5 + $G$78/(1+$A115)^4.5 + ($G$78*(1+D$113)/($A115-D$113))/(1+$A115)^4.5) - $B$12)/$B$8</f>
        <v/>
      </c>
      <c r="E115" s="32">
        <f>(($C$78/(1+$A115)^0.5 + $D$78/(1+$A115)^1.5 + $E$78/(1+$A115)^2.5 + $F$78/(1+$A115)^3.5 + $G$78/(1+$A115)^4.5 + ($G$78*(1+E$113)/($A115-E$113))/(1+$A115)^4.5) - $B$12)/$B$8</f>
        <v/>
      </c>
      <c r="F115" s="32">
        <f>(($C$78/(1+$A115)^0.5 + $D$78/(1+$A115)^1.5 + $E$78/(1+$A115)^2.5 + $F$78/(1+$A115)^3.5 + $G$78/(1+$A115)^4.5 + ($G$78*(1+F$113)/($A115-F$113))/(1+$A115)^4.5) - $B$12)/$B$8</f>
        <v/>
      </c>
    </row>
    <row r="116">
      <c r="A116" s="53" t="n">
        <v>0.1196</v>
      </c>
      <c r="B116" s="32">
        <f>(($C$78/(1+$A116)^0.5 + $D$78/(1+$A116)^1.5 + $E$78/(1+$A116)^2.5 + $F$78/(1+$A116)^3.5 + $G$78/(1+$A116)^4.5 + ($G$78*(1+B$113)/($A116-B$113))/(1+$A116)^4.5) - $B$12)/$B$8</f>
        <v/>
      </c>
      <c r="C116" s="32">
        <f>(($C$78/(1+$A116)^0.5 + $D$78/(1+$A116)^1.5 + $E$78/(1+$A116)^2.5 + $F$78/(1+$A116)^3.5 + $G$78/(1+$A116)^4.5 + ($G$78*(1+C$113)/($A116-C$113))/(1+$A116)^4.5) - $B$12)/$B$8</f>
        <v/>
      </c>
      <c r="D116" s="45">
        <f>(($C$78/(1+$A116)^0.5 + $D$78/(1+$A116)^1.5 + $E$78/(1+$A116)^2.5 + $F$78/(1+$A116)^3.5 + $G$78/(1+$A116)^4.5 + ($G$78*(1+D$113)/($A116-D$113))/(1+$A116)^4.5) - $B$12)/$B$8</f>
        <v/>
      </c>
      <c r="E116" s="32">
        <f>(($C$78/(1+$A116)^0.5 + $D$78/(1+$A116)^1.5 + $E$78/(1+$A116)^2.5 + $F$78/(1+$A116)^3.5 + $G$78/(1+$A116)^4.5 + ($G$78*(1+E$113)/($A116-E$113))/(1+$A116)^4.5) - $B$12)/$B$8</f>
        <v/>
      </c>
      <c r="F116" s="32">
        <f>(($C$78/(1+$A116)^0.5 + $D$78/(1+$A116)^1.5 + $E$78/(1+$A116)^2.5 + $F$78/(1+$A116)^3.5 + $G$78/(1+$A116)^4.5 + ($G$78*(1+F$113)/($A116-F$113))/(1+$A116)^4.5) - $B$12)/$B$8</f>
        <v/>
      </c>
    </row>
    <row r="117">
      <c r="A117" s="52" t="n">
        <v>0.13</v>
      </c>
      <c r="B117" s="32">
        <f>(($C$78/(1+$A117)^0.5 + $D$78/(1+$A117)^1.5 + $E$78/(1+$A117)^2.5 + $F$78/(1+$A117)^3.5 + $G$78/(1+$A117)^4.5 + ($G$78*(1+B$113)/($A117-B$113))/(1+$A117)^4.5) - $B$12)/$B$8</f>
        <v/>
      </c>
      <c r="C117" s="32">
        <f>(($C$78/(1+$A117)^0.5 + $D$78/(1+$A117)^1.5 + $E$78/(1+$A117)^2.5 + $F$78/(1+$A117)^3.5 + $G$78/(1+$A117)^4.5 + ($G$78*(1+C$113)/($A117-C$113))/(1+$A117)^4.5) - $B$12)/$B$8</f>
        <v/>
      </c>
      <c r="D117" s="32">
        <f>(($C$78/(1+$A117)^0.5 + $D$78/(1+$A117)^1.5 + $E$78/(1+$A117)^2.5 + $F$78/(1+$A117)^3.5 + $G$78/(1+$A117)^4.5 + ($G$78*(1+D$113)/($A117-D$113))/(1+$A117)^4.5) - $B$12)/$B$8</f>
        <v/>
      </c>
      <c r="E117" s="32">
        <f>(($C$78/(1+$A117)^0.5 + $D$78/(1+$A117)^1.5 + $E$78/(1+$A117)^2.5 + $F$78/(1+$A117)^3.5 + $G$78/(1+$A117)^4.5 + ($G$78*(1+E$113)/($A117-E$113))/(1+$A117)^4.5) - $B$12)/$B$8</f>
        <v/>
      </c>
      <c r="F117" s="32">
        <f>(($C$78/(1+$A117)^0.5 + $D$78/(1+$A117)^1.5 + $E$78/(1+$A117)^2.5 + $F$78/(1+$A117)^3.5 + $G$78/(1+$A117)^4.5 + ($G$78*(1+F$113)/($A117-F$113))/(1+$A117)^4.5) - $B$12)/$B$8</f>
        <v/>
      </c>
    </row>
    <row r="118">
      <c r="A118" s="52" t="n">
        <v>0.14</v>
      </c>
      <c r="B118" s="32">
        <f>(($C$78/(1+$A118)^0.5 + $D$78/(1+$A118)^1.5 + $E$78/(1+$A118)^2.5 + $F$78/(1+$A118)^3.5 + $G$78/(1+$A118)^4.5 + ($G$78*(1+B$113)/($A118-B$113))/(1+$A118)^4.5) - $B$12)/$B$8</f>
        <v/>
      </c>
      <c r="C118" s="32">
        <f>(($C$78/(1+$A118)^0.5 + $D$78/(1+$A118)^1.5 + $E$78/(1+$A118)^2.5 + $F$78/(1+$A118)^3.5 + $G$78/(1+$A118)^4.5 + ($G$78*(1+C$113)/($A118-C$113))/(1+$A118)^4.5) - $B$12)/$B$8</f>
        <v/>
      </c>
      <c r="D118" s="32">
        <f>(($C$78/(1+$A118)^0.5 + $D$78/(1+$A118)^1.5 + $E$78/(1+$A118)^2.5 + $F$78/(1+$A118)^3.5 + $G$78/(1+$A118)^4.5 + ($G$78*(1+D$113)/($A118-D$113))/(1+$A118)^4.5) - $B$12)/$B$8</f>
        <v/>
      </c>
      <c r="E118" s="32">
        <f>(($C$78/(1+$A118)^0.5 + $D$78/(1+$A118)^1.5 + $E$78/(1+$A118)^2.5 + $F$78/(1+$A118)^3.5 + $G$78/(1+$A118)^4.5 + ($G$78*(1+E$113)/($A118-E$113))/(1+$A118)^4.5) - $B$12)/$B$8</f>
        <v/>
      </c>
      <c r="F118" s="32">
        <f>(($C$78/(1+$A118)^0.5 + $D$78/(1+$A118)^1.5 + $E$78/(1+$A118)^2.5 + $F$78/(1+$A118)^3.5 + $G$78/(1+$A118)^4.5 + ($G$78*(1+F$113)/($A118-F$113))/(1+$A118)^4.5) - $B$12)/$B$8</f>
        <v/>
      </c>
    </row>
    <row r="121">
      <c r="A121" s="49" t="inlineStr">
        <is>
          <t>Sensitivity Table 2: Implied Share Price ($) vs. Revenue Growth Delta &amp; Terminal EBIT Margin</t>
        </is>
      </c>
    </row>
    <row r="122">
      <c r="A122" s="18" t="inlineStr">
        <is>
          <t>EBIT Mgn \ Rev Δ</t>
        </is>
      </c>
      <c r="B122" s="54" t="n">
        <v>-0.1</v>
      </c>
      <c r="C122" s="54" t="n">
        <v>-0.05</v>
      </c>
      <c r="D122" s="55" t="n">
        <v>0</v>
      </c>
      <c r="E122" s="54" t="n">
        <v>0.05</v>
      </c>
      <c r="F122" s="54" t="n">
        <v>0.1</v>
      </c>
    </row>
    <row r="123">
      <c r="A123" s="56" t="n">
        <v>0.05</v>
      </c>
      <c r="B123" s="32">
        <f>((($C$78*(1+B$122))/(1+$B$64)^0.5 + ($D$78*(1+B$122))/(1+$B$64)^1.5 + ($E$78*(1+B$122))/(1+$B$64)^2.5 + ($F$78*(1+B$122))/(1+$B$64)^3.5 + (($G$70*(1+B$122)*($A123*(1-$B$14)+$G$46-$G$47)))/(1+$B$64)^4.5 + ((($G$70*(1+B$122)*($A123*(1-$B$14)+$G$46-$G$47))*(1+$H$44)/($B$64-$H$44))/(1+$B$64)^4.5)) - $B$12)/$B$8</f>
        <v/>
      </c>
      <c r="C123" s="32">
        <f>((($C$78*(1+C$122))/(1+$B$64)^0.5 + ($D$78*(1+C$122))/(1+$B$64)^1.5 + ($E$78*(1+C$122))/(1+$B$64)^2.5 + ($F$78*(1+C$122))/(1+$B$64)^3.5 + (($G$70*(1+C$122)*($A123*(1-$B$14)+$G$46-$G$47)))/(1+$B$64)^4.5 + ((($G$70*(1+C$122)*($A123*(1-$B$14)+$G$46-$G$47))*(1+$H$44)/($B$64-$H$44))/(1+$B$64)^4.5)) - $B$12)/$B$8</f>
        <v/>
      </c>
      <c r="D123" s="32">
        <f>((($C$78*(1+D$122))/(1+$B$64)^0.5 + ($D$78*(1+D$122))/(1+$B$64)^1.5 + ($E$78*(1+D$122))/(1+$B$64)^2.5 + ($F$78*(1+D$122))/(1+$B$64)^3.5 + (($G$70*(1+D$122)*($A123*(1-$B$14)+$G$46-$G$47)))/(1+$B$64)^4.5 + ((($G$70*(1+D$122)*($A123*(1-$B$14)+$G$46-$G$47))*(1+$H$44)/($B$64-$H$44))/(1+$B$64)^4.5)) - $B$12)/$B$8</f>
        <v/>
      </c>
      <c r="E123" s="32">
        <f>((($C$78*(1+E$122))/(1+$B$64)^0.5 + ($D$78*(1+E$122))/(1+$B$64)^1.5 + ($E$78*(1+E$122))/(1+$B$64)^2.5 + ($F$78*(1+E$122))/(1+$B$64)^3.5 + (($G$70*(1+E$122)*($A123*(1-$B$14)+$G$46-$G$47)))/(1+$B$64)^4.5 + ((($G$70*(1+E$122)*($A123*(1-$B$14)+$G$46-$G$47))*(1+$H$44)/($B$64-$H$44))/(1+$B$64)^4.5)) - $B$12)/$B$8</f>
        <v/>
      </c>
      <c r="F123" s="32">
        <f>((($C$78*(1+F$122))/(1+$B$64)^0.5 + ($D$78*(1+F$122))/(1+$B$64)^1.5 + ($E$78*(1+F$122))/(1+$B$64)^2.5 + ($F$78*(1+F$122))/(1+$B$64)^3.5 + (($G$70*(1+F$122)*($A123*(1-$B$14)+$G$46-$G$47)))/(1+$B$64)^4.5 + ((($G$70*(1+F$122)*($A123*(1-$B$14)+$G$46-$G$47))*(1+$H$44)/($B$64-$H$44))/(1+$B$64)^4.5)) - $B$12)/$B$8</f>
        <v/>
      </c>
    </row>
    <row r="124">
      <c r="A124" s="56" t="n">
        <v>0.06</v>
      </c>
      <c r="B124" s="32">
        <f>((($C$78*(1+B$122))/(1+$B$64)^0.5 + ($D$78*(1+B$122))/(1+$B$64)^1.5 + ($E$78*(1+B$122))/(1+$B$64)^2.5 + ($F$78*(1+B$122))/(1+$B$64)^3.5 + (($G$70*(1+B$122)*($A124*(1-$B$14)+$G$46-$G$47)))/(1+$B$64)^4.5 + ((($G$70*(1+B$122)*($A124*(1-$B$14)+$G$46-$G$47))*(1+$H$44)/($B$64-$H$44))/(1+$B$64)^4.5)) - $B$12)/$B$8</f>
        <v/>
      </c>
      <c r="C124" s="32">
        <f>((($C$78*(1+C$122))/(1+$B$64)^0.5 + ($D$78*(1+C$122))/(1+$B$64)^1.5 + ($E$78*(1+C$122))/(1+$B$64)^2.5 + ($F$78*(1+C$122))/(1+$B$64)^3.5 + (($G$70*(1+C$122)*($A124*(1-$B$14)+$G$46-$G$47)))/(1+$B$64)^4.5 + ((($G$70*(1+C$122)*($A124*(1-$B$14)+$G$46-$G$47))*(1+$H$44)/($B$64-$H$44))/(1+$B$64)^4.5)) - $B$12)/$B$8</f>
        <v/>
      </c>
      <c r="D124" s="32">
        <f>((($C$78*(1+D$122))/(1+$B$64)^0.5 + ($D$78*(1+D$122))/(1+$B$64)^1.5 + ($E$78*(1+D$122))/(1+$B$64)^2.5 + ($F$78*(1+D$122))/(1+$B$64)^3.5 + (($G$70*(1+D$122)*($A124*(1-$B$14)+$G$46-$G$47)))/(1+$B$64)^4.5 + ((($G$70*(1+D$122)*($A124*(1-$B$14)+$G$46-$G$47))*(1+$H$44)/($B$64-$H$44))/(1+$B$64)^4.5)) - $B$12)/$B$8</f>
        <v/>
      </c>
      <c r="E124" s="32">
        <f>((($C$78*(1+E$122))/(1+$B$64)^0.5 + ($D$78*(1+E$122))/(1+$B$64)^1.5 + ($E$78*(1+E$122))/(1+$B$64)^2.5 + ($F$78*(1+E$122))/(1+$B$64)^3.5 + (($G$70*(1+E$122)*($A124*(1-$B$14)+$G$46-$G$47)))/(1+$B$64)^4.5 + ((($G$70*(1+E$122)*($A124*(1-$B$14)+$G$46-$G$47))*(1+$H$44)/($B$64-$H$44))/(1+$B$64)^4.5)) - $B$12)/$B$8</f>
        <v/>
      </c>
      <c r="F124" s="32">
        <f>((($C$78*(1+F$122))/(1+$B$64)^0.5 + ($D$78*(1+F$122))/(1+$B$64)^1.5 + ($E$78*(1+F$122))/(1+$B$64)^2.5 + ($F$78*(1+F$122))/(1+$B$64)^3.5 + (($G$70*(1+F$122)*($A124*(1-$B$14)+$G$46-$G$47)))/(1+$B$64)^4.5 + ((($G$70*(1+F$122)*($A124*(1-$B$14)+$G$46-$G$47))*(1+$H$44)/($B$64-$H$44))/(1+$B$64)^4.5)) - $B$12)/$B$8</f>
        <v/>
      </c>
    </row>
    <row r="125">
      <c r="A125" s="57" t="n">
        <v>0.07000000000000001</v>
      </c>
      <c r="B125" s="32">
        <f>((($C$78*(1+B$122))/(1+$B$64)^0.5 + ($D$78*(1+B$122))/(1+$B$64)^1.5 + ($E$78*(1+B$122))/(1+$B$64)^2.5 + ($F$78*(1+B$122))/(1+$B$64)^3.5 + (($G$70*(1+B$122)*($A125*(1-$B$14)+$G$46-$G$47)))/(1+$B$64)^4.5 + ((($G$70*(1+B$122)*($A125*(1-$B$14)+$G$46-$G$47))*(1+$H$44)/($B$64-$H$44))/(1+$B$64)^4.5)) - $B$12)/$B$8</f>
        <v/>
      </c>
      <c r="C125" s="32">
        <f>((($C$78*(1+C$122))/(1+$B$64)^0.5 + ($D$78*(1+C$122))/(1+$B$64)^1.5 + ($E$78*(1+C$122))/(1+$B$64)^2.5 + ($F$78*(1+C$122))/(1+$B$64)^3.5 + (($G$70*(1+C$122)*($A125*(1-$B$14)+$G$46-$G$47)))/(1+$B$64)^4.5 + ((($G$70*(1+C$122)*($A125*(1-$B$14)+$G$46-$G$47))*(1+$H$44)/($B$64-$H$44))/(1+$B$64)^4.5)) - $B$12)/$B$8</f>
        <v/>
      </c>
      <c r="D125" s="45">
        <f>((($C$78*(1+D$122))/(1+$B$64)^0.5 + ($D$78*(1+D$122))/(1+$B$64)^1.5 + ($E$78*(1+D$122))/(1+$B$64)^2.5 + ($F$78*(1+D$122))/(1+$B$64)^3.5 + (($G$70*(1+D$122)*($A125*(1-$B$14)+$G$46-$G$47)))/(1+$B$64)^4.5 + ((($G$70*(1+D$122)*($A125*(1-$B$14)+$G$46-$G$47))*(1+$H$44)/($B$64-$H$44))/(1+$B$64)^4.5)) - $B$12)/$B$8</f>
        <v/>
      </c>
      <c r="E125" s="32">
        <f>((($C$78*(1+E$122))/(1+$B$64)^0.5 + ($D$78*(1+E$122))/(1+$B$64)^1.5 + ($E$78*(1+E$122))/(1+$B$64)^2.5 + ($F$78*(1+E$122))/(1+$B$64)^3.5 + (($G$70*(1+E$122)*($A125*(1-$B$14)+$G$46-$G$47)))/(1+$B$64)^4.5 + ((($G$70*(1+E$122)*($A125*(1-$B$14)+$G$46-$G$47))*(1+$H$44)/($B$64-$H$44))/(1+$B$64)^4.5)) - $B$12)/$B$8</f>
        <v/>
      </c>
      <c r="F125" s="32">
        <f>((($C$78*(1+F$122))/(1+$B$64)^0.5 + ($D$78*(1+F$122))/(1+$B$64)^1.5 + ($E$78*(1+F$122))/(1+$B$64)^2.5 + ($F$78*(1+F$122))/(1+$B$64)^3.5 + (($G$70*(1+F$122)*($A125*(1-$B$14)+$G$46-$G$47)))/(1+$B$64)^4.5 + ((($G$70*(1+F$122)*($A125*(1-$B$14)+$G$46-$G$47))*(1+$H$44)/($B$64-$H$44))/(1+$B$64)^4.5)) - $B$12)/$B$8</f>
        <v/>
      </c>
    </row>
    <row r="126">
      <c r="A126" s="56" t="n">
        <v>0.08</v>
      </c>
      <c r="B126" s="32">
        <f>((($C$78*(1+B$122))/(1+$B$64)^0.5 + ($D$78*(1+B$122))/(1+$B$64)^1.5 + ($E$78*(1+B$122))/(1+$B$64)^2.5 + ($F$78*(1+B$122))/(1+$B$64)^3.5 + (($G$70*(1+B$122)*($A126*(1-$B$14)+$G$46-$G$47)))/(1+$B$64)^4.5 + ((($G$70*(1+B$122)*($A126*(1-$B$14)+$G$46-$G$47))*(1+$H$44)/($B$64-$H$44))/(1+$B$64)^4.5)) - $B$12)/$B$8</f>
        <v/>
      </c>
      <c r="C126" s="32">
        <f>((($C$78*(1+C$122))/(1+$B$64)^0.5 + ($D$78*(1+C$122))/(1+$B$64)^1.5 + ($E$78*(1+C$122))/(1+$B$64)^2.5 + ($F$78*(1+C$122))/(1+$B$64)^3.5 + (($G$70*(1+C$122)*($A126*(1-$B$14)+$G$46-$G$47)))/(1+$B$64)^4.5 + ((($G$70*(1+C$122)*($A126*(1-$B$14)+$G$46-$G$47))*(1+$H$44)/($B$64-$H$44))/(1+$B$64)^4.5)) - $B$12)/$B$8</f>
        <v/>
      </c>
      <c r="D126" s="32">
        <f>((($C$78*(1+D$122))/(1+$B$64)^0.5 + ($D$78*(1+D$122))/(1+$B$64)^1.5 + ($E$78*(1+D$122))/(1+$B$64)^2.5 + ($F$78*(1+D$122))/(1+$B$64)^3.5 + (($G$70*(1+D$122)*($A126*(1-$B$14)+$G$46-$G$47)))/(1+$B$64)^4.5 + ((($G$70*(1+D$122)*($A126*(1-$B$14)+$G$46-$G$47))*(1+$H$44)/($B$64-$H$44))/(1+$B$64)^4.5)) - $B$12)/$B$8</f>
        <v/>
      </c>
      <c r="E126" s="32">
        <f>((($C$78*(1+E$122))/(1+$B$64)^0.5 + ($D$78*(1+E$122))/(1+$B$64)^1.5 + ($E$78*(1+E$122))/(1+$B$64)^2.5 + ($F$78*(1+E$122))/(1+$B$64)^3.5 + (($G$70*(1+E$122)*($A126*(1-$B$14)+$G$46-$G$47)))/(1+$B$64)^4.5 + ((($G$70*(1+E$122)*($A126*(1-$B$14)+$G$46-$G$47))*(1+$H$44)/($B$64-$H$44))/(1+$B$64)^4.5)) - $B$12)/$B$8</f>
        <v/>
      </c>
      <c r="F126" s="32">
        <f>((($C$78*(1+F$122))/(1+$B$64)^0.5 + ($D$78*(1+F$122))/(1+$B$64)^1.5 + ($E$78*(1+F$122))/(1+$B$64)^2.5 + ($F$78*(1+F$122))/(1+$B$64)^3.5 + (($G$70*(1+F$122)*($A126*(1-$B$14)+$G$46-$G$47)))/(1+$B$64)^4.5 + ((($G$70*(1+F$122)*($A126*(1-$B$14)+$G$46-$G$47))*(1+$H$44)/($B$64-$H$44))/(1+$B$64)^4.5)) - $B$12)/$B$8</f>
        <v/>
      </c>
    </row>
    <row r="127">
      <c r="A127" s="56" t="n">
        <v>0.09</v>
      </c>
      <c r="B127" s="32">
        <f>((($C$78*(1+B$122))/(1+$B$64)^0.5 + ($D$78*(1+B$122))/(1+$B$64)^1.5 + ($E$78*(1+B$122))/(1+$B$64)^2.5 + ($F$78*(1+B$122))/(1+$B$64)^3.5 + (($G$70*(1+B$122)*($A127*(1-$B$14)+$G$46-$G$47)))/(1+$B$64)^4.5 + ((($G$70*(1+B$122)*($A127*(1-$B$14)+$G$46-$G$47))*(1+$H$44)/($B$64-$H$44))/(1+$B$64)^4.5)) - $B$12)/$B$8</f>
        <v/>
      </c>
      <c r="C127" s="32">
        <f>((($C$78*(1+C$122))/(1+$B$64)^0.5 + ($D$78*(1+C$122))/(1+$B$64)^1.5 + ($E$78*(1+C$122))/(1+$B$64)^2.5 + ($F$78*(1+C$122))/(1+$B$64)^3.5 + (($G$70*(1+C$122)*($A127*(1-$B$14)+$G$46-$G$47)))/(1+$B$64)^4.5 + ((($G$70*(1+C$122)*($A127*(1-$B$14)+$G$46-$G$47))*(1+$H$44)/($B$64-$H$44))/(1+$B$64)^4.5)) - $B$12)/$B$8</f>
        <v/>
      </c>
      <c r="D127" s="32">
        <f>((($C$78*(1+D$122))/(1+$B$64)^0.5 + ($D$78*(1+D$122))/(1+$B$64)^1.5 + ($E$78*(1+D$122))/(1+$B$64)^2.5 + ($F$78*(1+D$122))/(1+$B$64)^3.5 + (($G$70*(1+D$122)*($A127*(1-$B$14)+$G$46-$G$47)))/(1+$B$64)^4.5 + ((($G$70*(1+D$122)*($A127*(1-$B$14)+$G$46-$G$47))*(1+$H$44)/($B$64-$H$44))/(1+$B$64)^4.5)) - $B$12)/$B$8</f>
        <v/>
      </c>
      <c r="E127" s="32">
        <f>((($C$78*(1+E$122))/(1+$B$64)^0.5 + ($D$78*(1+E$122))/(1+$B$64)^1.5 + ($E$78*(1+E$122))/(1+$B$64)^2.5 + ($F$78*(1+E$122))/(1+$B$64)^3.5 + (($G$70*(1+E$122)*($A127*(1-$B$14)+$G$46-$G$47)))/(1+$B$64)^4.5 + ((($G$70*(1+E$122)*($A127*(1-$B$14)+$G$46-$G$47))*(1+$H$44)/($B$64-$H$44))/(1+$B$64)^4.5)) - $B$12)/$B$8</f>
        <v/>
      </c>
      <c r="F127" s="32">
        <f>((($C$78*(1+F$122))/(1+$B$64)^0.5 + ($D$78*(1+F$122))/(1+$B$64)^1.5 + ($E$78*(1+F$122))/(1+$B$64)^2.5 + ($F$78*(1+F$122))/(1+$B$64)^3.5 + (($G$70*(1+F$122)*($A127*(1-$B$14)+$G$46-$G$47)))/(1+$B$64)^4.5 + ((($G$70*(1+F$122)*($A127*(1-$B$14)+$G$46-$G$47))*(1+$H$44)/($B$64-$H$44))/(1+$B$64)^4.5)) - $B$12)/$B$8</f>
        <v/>
      </c>
    </row>
    <row r="130">
      <c r="A130" s="49" t="inlineStr">
        <is>
          <t>Sensitivity Table 3: Implied Share Price ($) vs. Beta &amp; 10-Year Treasury Yield (Risk-Free Rate)</t>
        </is>
      </c>
    </row>
    <row r="131">
      <c r="A131" s="18" t="inlineStr">
        <is>
          <t>Beta \ Risk-Free Rate</t>
        </is>
      </c>
      <c r="B131" s="58" t="n">
        <v>0.0364</v>
      </c>
      <c r="C131" s="58" t="n">
        <v>0.0414</v>
      </c>
      <c r="D131" s="59" t="n">
        <v>0.0464</v>
      </c>
      <c r="E131" s="58" t="n">
        <v>0.0514</v>
      </c>
      <c r="F131" s="58" t="n">
        <v>0.0564</v>
      </c>
    </row>
    <row r="132">
      <c r="A132" s="60" t="n">
        <v>1.13</v>
      </c>
      <c r="B132" s="32">
        <f>(($C$78/(1+(B$131 + $A132*0.055))^0.5 + $D$78/(1+(B$131 + $A132*0.055))^1.5 + $E$78/(1+(B$131 + $A132*0.055))^2.5 + $F$78/(1+(B$131 + $A132*0.055))^3.5 + $G$78/(1+(B$131 + $A132*0.055))^4.5 + ($G$78*(1+$H$44)/((B$131 + $A132*0.055)-$H$44))/(1+(B$131 + $A132*0.055))^4.5) - $B$12)/$B$8</f>
        <v/>
      </c>
      <c r="C132" s="32">
        <f>(($C$78/(1+(C$131 + $A132*0.055))^0.5 + $D$78/(1+(C$131 + $A132*0.055))^1.5 + $E$78/(1+(C$131 + $A132*0.055))^2.5 + $F$78/(1+(C$131 + $A132*0.055))^3.5 + $G$78/(1+(C$131 + $A132*0.055))^4.5 + ($G$78*(1+$H$44)/((C$131 + $A132*0.055)-$H$44))/(1+(C$131 + $A132*0.055))^4.5) - $B$12)/$B$8</f>
        <v/>
      </c>
      <c r="D132" s="32">
        <f>(($C$78/(1+(D$131 + $A132*0.055))^0.5 + $D$78/(1+(D$131 + $A132*0.055))^1.5 + $E$78/(1+(D$131 + $A132*0.055))^2.5 + $F$78/(1+(D$131 + $A132*0.055))^3.5 + $G$78/(1+(D$131 + $A132*0.055))^4.5 + ($G$78*(1+$H$44)/((D$131 + $A132*0.055)-$H$44))/(1+(D$131 + $A132*0.055))^4.5) - $B$12)/$B$8</f>
        <v/>
      </c>
      <c r="E132" s="32">
        <f>(($C$78/(1+(E$131 + $A132*0.055))^0.5 + $D$78/(1+(E$131 + $A132*0.055))^1.5 + $E$78/(1+(E$131 + $A132*0.055))^2.5 + $F$78/(1+(E$131 + $A132*0.055))^3.5 + $G$78/(1+(E$131 + $A132*0.055))^4.5 + ($G$78*(1+$H$44)/((E$131 + $A132*0.055)-$H$44))/(1+(E$131 + $A132*0.055))^4.5) - $B$12)/$B$8</f>
        <v/>
      </c>
      <c r="F132" s="32">
        <f>(($C$78/(1+(F$131 + $A132*0.055))^0.5 + $D$78/(1+(F$131 + $A132*0.055))^1.5 + $E$78/(1+(F$131 + $A132*0.055))^2.5 + $F$78/(1+(F$131 + $A132*0.055))^3.5 + $G$78/(1+(F$131 + $A132*0.055))^4.5 + ($G$78*(1+$H$44)/((F$131 + $A132*0.055)-$H$44))/(1+(F$131 + $A132*0.055))^4.5) - $B$12)/$B$8</f>
        <v/>
      </c>
    </row>
    <row r="133">
      <c r="A133" s="60" t="n">
        <v>1.23</v>
      </c>
      <c r="B133" s="32">
        <f>(($C$78/(1+(B$131 + $A133*0.055))^0.5 + $D$78/(1+(B$131 + $A133*0.055))^1.5 + $E$78/(1+(B$131 + $A133*0.055))^2.5 + $F$78/(1+(B$131 + $A133*0.055))^3.5 + $G$78/(1+(B$131 + $A133*0.055))^4.5 + ($G$78*(1+$H$44)/((B$131 + $A133*0.055)-$H$44))/(1+(B$131 + $A133*0.055))^4.5) - $B$12)/$B$8</f>
        <v/>
      </c>
      <c r="C133" s="32">
        <f>(($C$78/(1+(C$131 + $A133*0.055))^0.5 + $D$78/(1+(C$131 + $A133*0.055))^1.5 + $E$78/(1+(C$131 + $A133*0.055))^2.5 + $F$78/(1+(C$131 + $A133*0.055))^3.5 + $G$78/(1+(C$131 + $A133*0.055))^4.5 + ($G$78*(1+$H$44)/((C$131 + $A133*0.055)-$H$44))/(1+(C$131 + $A133*0.055))^4.5) - $B$12)/$B$8</f>
        <v/>
      </c>
      <c r="D133" s="32">
        <f>(($C$78/(1+(D$131 + $A133*0.055))^0.5 + $D$78/(1+(D$131 + $A133*0.055))^1.5 + $E$78/(1+(D$131 + $A133*0.055))^2.5 + $F$78/(1+(D$131 + $A133*0.055))^3.5 + $G$78/(1+(D$131 + $A133*0.055))^4.5 + ($G$78*(1+$H$44)/((D$131 + $A133*0.055)-$H$44))/(1+(D$131 + $A133*0.055))^4.5) - $B$12)/$B$8</f>
        <v/>
      </c>
      <c r="E133" s="32">
        <f>(($C$78/(1+(E$131 + $A133*0.055))^0.5 + $D$78/(1+(E$131 + $A133*0.055))^1.5 + $E$78/(1+(E$131 + $A133*0.055))^2.5 + $F$78/(1+(E$131 + $A133*0.055))^3.5 + $G$78/(1+(E$131 + $A133*0.055))^4.5 + ($G$78*(1+$H$44)/((E$131 + $A133*0.055)-$H$44))/(1+(E$131 + $A133*0.055))^4.5) - $B$12)/$B$8</f>
        <v/>
      </c>
      <c r="F133" s="32">
        <f>(($C$78/(1+(F$131 + $A133*0.055))^0.5 + $D$78/(1+(F$131 + $A133*0.055))^1.5 + $E$78/(1+(F$131 + $A133*0.055))^2.5 + $F$78/(1+(F$131 + $A133*0.055))^3.5 + $G$78/(1+(F$131 + $A133*0.055))^4.5 + ($G$78*(1+$H$44)/((F$131 + $A133*0.055)-$H$44))/(1+(F$131 + $A133*0.055))^4.5) - $B$12)/$B$8</f>
        <v/>
      </c>
    </row>
    <row r="134">
      <c r="A134" s="61" t="n">
        <v>1.33</v>
      </c>
      <c r="B134" s="32">
        <f>(($C$78/(1+(B$131 + $A134*0.055))^0.5 + $D$78/(1+(B$131 + $A134*0.055))^1.5 + $E$78/(1+(B$131 + $A134*0.055))^2.5 + $F$78/(1+(B$131 + $A134*0.055))^3.5 + $G$78/(1+(B$131 + $A134*0.055))^4.5 + ($G$78*(1+$H$44)/((B$131 + $A134*0.055)-$H$44))/(1+(B$131 + $A134*0.055))^4.5) - $B$12)/$B$8</f>
        <v/>
      </c>
      <c r="C134" s="32">
        <f>(($C$78/(1+(C$131 + $A134*0.055))^0.5 + $D$78/(1+(C$131 + $A134*0.055))^1.5 + $E$78/(1+(C$131 + $A134*0.055))^2.5 + $F$78/(1+(C$131 + $A134*0.055))^3.5 + $G$78/(1+(C$131 + $A134*0.055))^4.5 + ($G$78*(1+$H$44)/((C$131 + $A134*0.055)-$H$44))/(1+(C$131 + $A134*0.055))^4.5) - $B$12)/$B$8</f>
        <v/>
      </c>
      <c r="D134" s="45">
        <f>(($C$78/(1+(D$131 + $A134*0.055))^0.5 + $D$78/(1+(D$131 + $A134*0.055))^1.5 + $E$78/(1+(D$131 + $A134*0.055))^2.5 + $F$78/(1+(D$131 + $A134*0.055))^3.5 + $G$78/(1+(D$131 + $A134*0.055))^4.5 + ($G$78*(1+$H$44)/((D$131 + $A134*0.055)-$H$44))/(1+(D$131 + $A134*0.055))^4.5) - $B$12)/$B$8</f>
        <v/>
      </c>
      <c r="E134" s="32">
        <f>(($C$78/(1+(E$131 + $A134*0.055))^0.5 + $D$78/(1+(E$131 + $A134*0.055))^1.5 + $E$78/(1+(E$131 + $A134*0.055))^2.5 + $F$78/(1+(E$131 + $A134*0.055))^3.5 + $G$78/(1+(E$131 + $A134*0.055))^4.5 + ($G$78*(1+$H$44)/((E$131 + $A134*0.055)-$H$44))/(1+(E$131 + $A134*0.055))^4.5) - $B$12)/$B$8</f>
        <v/>
      </c>
      <c r="F134" s="32">
        <f>(($C$78/(1+(F$131 + $A134*0.055))^0.5 + $D$78/(1+(F$131 + $A134*0.055))^1.5 + $E$78/(1+(F$131 + $A134*0.055))^2.5 + $F$78/(1+(F$131 + $A134*0.055))^3.5 + $G$78/(1+(F$131 + $A134*0.055))^4.5 + ($G$78*(1+$H$44)/((F$131 + $A134*0.055)-$H$44))/(1+(F$131 + $A134*0.055))^4.5) - $B$12)/$B$8</f>
        <v/>
      </c>
    </row>
    <row r="135">
      <c r="A135" s="60" t="n">
        <v>1.43</v>
      </c>
      <c r="B135" s="32">
        <f>(($C$78/(1+(B$131 + $A135*0.055))^0.5 + $D$78/(1+(B$131 + $A135*0.055))^1.5 + $E$78/(1+(B$131 + $A135*0.055))^2.5 + $F$78/(1+(B$131 + $A135*0.055))^3.5 + $G$78/(1+(B$131 + $A135*0.055))^4.5 + ($G$78*(1+$H$44)/((B$131 + $A135*0.055)-$H$44))/(1+(B$131 + $A135*0.055))^4.5) - $B$12)/$B$8</f>
        <v/>
      </c>
      <c r="C135" s="32">
        <f>(($C$78/(1+(C$131 + $A135*0.055))^0.5 + $D$78/(1+(C$131 + $A135*0.055))^1.5 + $E$78/(1+(C$131 + $A135*0.055))^2.5 + $F$78/(1+(C$131 + $A135*0.055))^3.5 + $G$78/(1+(C$131 + $A135*0.055))^4.5 + ($G$78*(1+$H$44)/((C$131 + $A135*0.055)-$H$44))/(1+(C$131 + $A135*0.055))^4.5) - $B$12)/$B$8</f>
        <v/>
      </c>
      <c r="D135" s="32">
        <f>(($C$78/(1+(D$131 + $A135*0.055))^0.5 + $D$78/(1+(D$131 + $A135*0.055))^1.5 + $E$78/(1+(D$131 + $A135*0.055))^2.5 + $F$78/(1+(D$131 + $A135*0.055))^3.5 + $G$78/(1+(D$131 + $A135*0.055))^4.5 + ($G$78*(1+$H$44)/((D$131 + $A135*0.055)-$H$44))/(1+(D$131 + $A135*0.055))^4.5) - $B$12)/$B$8</f>
        <v/>
      </c>
      <c r="E135" s="32">
        <f>(($C$78/(1+(E$131 + $A135*0.055))^0.5 + $D$78/(1+(E$131 + $A135*0.055))^1.5 + $E$78/(1+(E$131 + $A135*0.055))^2.5 + $F$78/(1+(E$131 + $A135*0.055))^3.5 + $G$78/(1+(E$131 + $A135*0.055))^4.5 + ($G$78*(1+$H$44)/((E$131 + $A135*0.055)-$H$44))/(1+(E$131 + $A135*0.055))^4.5) - $B$12)/$B$8</f>
        <v/>
      </c>
      <c r="F135" s="32">
        <f>(($C$78/(1+(F$131 + $A135*0.055))^0.5 + $D$78/(1+(F$131 + $A135*0.055))^1.5 + $E$78/(1+(F$131 + $A135*0.055))^2.5 + $F$78/(1+(F$131 + $A135*0.055))^3.5 + $G$78/(1+(F$131 + $A135*0.055))^4.5 + ($G$78*(1+$H$44)/((F$131 + $A135*0.055)-$H$44))/(1+(F$131 + $A135*0.055))^4.5) - $B$12)/$B$8</f>
        <v/>
      </c>
    </row>
    <row r="136">
      <c r="A136" s="60" t="n">
        <v>1.53</v>
      </c>
      <c r="B136" s="32">
        <f>(($C$78/(1+(B$131 + $A136*0.055))^0.5 + $D$78/(1+(B$131 + $A136*0.055))^1.5 + $E$78/(1+(B$131 + $A136*0.055))^2.5 + $F$78/(1+(B$131 + $A136*0.055))^3.5 + $G$78/(1+(B$131 + $A136*0.055))^4.5 + ($G$78*(1+$H$44)/((B$131 + $A136*0.055)-$H$44))/(1+(B$131 + $A136*0.055))^4.5) - $B$12)/$B$8</f>
        <v/>
      </c>
      <c r="C136" s="32">
        <f>(($C$78/(1+(C$131 + $A136*0.055))^0.5 + $D$78/(1+(C$131 + $A136*0.055))^1.5 + $E$78/(1+(C$131 + $A136*0.055))^2.5 + $F$78/(1+(C$131 + $A136*0.055))^3.5 + $G$78/(1+(C$131 + $A136*0.055))^4.5 + ($G$78*(1+$H$44)/((C$131 + $A136*0.055)-$H$44))/(1+(C$131 + $A136*0.055))^4.5) - $B$12)/$B$8</f>
        <v/>
      </c>
      <c r="D136" s="32">
        <f>(($C$78/(1+(D$131 + $A136*0.055))^0.5 + $D$78/(1+(D$131 + $A136*0.055))^1.5 + $E$78/(1+(D$131 + $A136*0.055))^2.5 + $F$78/(1+(D$131 + $A136*0.055))^3.5 + $G$78/(1+(D$131 + $A136*0.055))^4.5 + ($G$78*(1+$H$44)/((D$131 + $A136*0.055)-$H$44))/(1+(D$131 + $A136*0.055))^4.5) - $B$12)/$B$8</f>
        <v/>
      </c>
      <c r="E136" s="32">
        <f>(($C$78/(1+(E$131 + $A136*0.055))^0.5 + $D$78/(1+(E$131 + $A136*0.055))^1.5 + $E$78/(1+(E$131 + $A136*0.055))^2.5 + $F$78/(1+(E$131 + $A136*0.055))^3.5 + $G$78/(1+(E$131 + $A136*0.055))^4.5 + ($G$78*(1+$H$44)/((E$131 + $A136*0.055)-$H$44))/(1+(E$131 + $A136*0.055))^4.5) - $B$12)/$B$8</f>
        <v/>
      </c>
      <c r="F136" s="32">
        <f>(($C$78/(1+(F$131 + $A136*0.055))^0.5 + $D$78/(1+(F$131 + $A136*0.055))^1.5 + $E$78/(1+(F$131 + $A136*0.055))^2.5 + $F$78/(1+(F$131 + $A136*0.055))^3.5 + $G$78/(1+(F$131 + $A136*0.055))^4.5 + ($G$78*(1+$H$44)/((F$131 + $A136*0.055)-$H$44))/(1+(F$131 + $A136*0.055))^4.5) - $B$12)/$B$8</f>
        <v/>
      </c>
    </row>
  </sheetData>
  <mergeCells count="17">
    <mergeCell ref="A67:H67"/>
    <mergeCell ref="A130:H130"/>
    <mergeCell ref="A29:H29"/>
    <mergeCell ref="C86:G86"/>
    <mergeCell ref="A97:H97"/>
    <mergeCell ref="A20:H20"/>
    <mergeCell ref="A43:H43"/>
    <mergeCell ref="A81:H81"/>
    <mergeCell ref="A51:H51"/>
    <mergeCell ref="A121:H121"/>
    <mergeCell ref="A112:H112"/>
    <mergeCell ref="A36:H36"/>
    <mergeCell ref="A111:H111"/>
    <mergeCell ref="A89:H89"/>
    <mergeCell ref="A6:H6"/>
    <mergeCell ref="A22:H22"/>
    <mergeCell ref="A88:H8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Kura Sushi USA, Inc. (NASDAQ: KRUS)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15" t="n">
        <v>0.0464</v>
      </c>
    </row>
    <row r="6">
      <c r="A6" s="8" t="inlineStr">
        <is>
          <t>Equity Beta (5-Year Monthly vs S&amp;P 500)</t>
        </is>
      </c>
      <c r="B6" s="16" t="n">
        <v>1.33</v>
      </c>
    </row>
    <row r="7">
      <c r="A7" s="8" t="inlineStr">
        <is>
          <t>Market Equity Risk Premium (ERP)</t>
        </is>
      </c>
      <c r="B7" s="15" t="n">
        <v>0.055</v>
      </c>
    </row>
    <row r="8">
      <c r="A8" s="11" t="inlineStr">
        <is>
          <t>Cost of Equity (Ke = Rf + Beta * ERP)</t>
        </is>
      </c>
      <c r="B8" s="26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15" t="n">
        <v>0.06</v>
      </c>
    </row>
    <row r="12">
      <c r="A12" s="8" t="inlineStr">
        <is>
          <t>Effective Corporate Tax Rate (t)</t>
        </is>
      </c>
      <c r="B12" s="14" t="n">
        <v>0.25</v>
      </c>
    </row>
    <row r="13">
      <c r="A13" s="11" t="inlineStr">
        <is>
          <t>After-Tax Cost of Debt (Kd * (1 - t))</t>
        </is>
      </c>
      <c r="B13" s="26">
        <f>B11*(1-B12)</f>
        <v/>
      </c>
    </row>
    <row r="14">
      <c r="A14" s="11" t="inlineStr">
        <is>
          <t>Current Share Price ($)</t>
        </is>
      </c>
      <c r="B14" s="62">
        <f>'DCF Valuation'!B7</f>
        <v/>
      </c>
    </row>
    <row r="15">
      <c r="A15" s="11" t="inlineStr">
        <is>
          <t>Diluted Shares Outstanding (M)</t>
        </is>
      </c>
      <c r="B15" s="63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($M)</t>
        </is>
      </c>
      <c r="B17" s="9" t="n">
        <v>0</v>
      </c>
    </row>
    <row r="18">
      <c r="A18" s="8" t="inlineStr">
        <is>
          <t>Cash and Cash Equivalents ($M)</t>
        </is>
      </c>
      <c r="B18" s="9" t="n">
        <v>50.99</v>
      </c>
    </row>
    <row r="19">
      <c r="A19" s="11" t="inlineStr">
        <is>
          <t>Net Debt ($M) [Net Cash if negative]</t>
        </is>
      </c>
      <c r="B19" s="13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7" t="inlineStr">
        <is>
          <t>Component</t>
        </is>
      </c>
      <c r="B23" s="64" t="inlineStr">
        <is>
          <t>Market Value ($M)</t>
        </is>
      </c>
      <c r="C23" s="64" t="inlineStr">
        <is>
          <t>Capital Weight (%)</t>
        </is>
      </c>
      <c r="D23" s="64" t="inlineStr">
        <is>
          <t>Cost of Capital (%)</t>
        </is>
      </c>
      <c r="E23" s="64" t="inlineStr">
        <is>
          <t>Weighted Contribution (%)</t>
        </is>
      </c>
    </row>
    <row r="24">
      <c r="A24" s="8" t="inlineStr">
        <is>
          <t>Common Equity (Market Cap)</t>
        </is>
      </c>
      <c r="B24" s="31">
        <f>B16</f>
        <v/>
      </c>
      <c r="C24" s="30">
        <f>B24/$B$20</f>
        <v/>
      </c>
      <c r="D24" s="27">
        <f>B8</f>
        <v/>
      </c>
      <c r="E24" s="27">
        <f>C24*D24</f>
        <v/>
      </c>
    </row>
    <row r="25">
      <c r="A25" s="8" t="inlineStr">
        <is>
          <t>Net Debt (Net Cash Adjustment)</t>
        </is>
      </c>
      <c r="B25" s="31">
        <f>B19</f>
        <v/>
      </c>
      <c r="C25" s="30">
        <f>B25/$B$20</f>
        <v/>
      </c>
      <c r="D25" s="27">
        <f>B13</f>
        <v/>
      </c>
      <c r="E25" s="27">
        <f>C25*D25</f>
        <v/>
      </c>
    </row>
    <row r="26">
      <c r="A26" s="65" t="inlineStr">
        <is>
          <t>Total Capitalization / Base WACC (CAPM Unlevered)</t>
        </is>
      </c>
      <c r="B26" s="66">
        <f>B20</f>
        <v/>
      </c>
      <c r="C26" s="67">
        <f>SUM(C24:C25)</f>
        <v/>
      </c>
      <c r="D26" s="68" t="inlineStr">
        <is>
          <t>-</t>
        </is>
      </c>
      <c r="E26" s="69">
        <f>B8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2026-08-20T02:46:43Z</dcterms:created>
  <dcterms:modified xmlns:dcterms="http://purl.org/dc/terms/" xmlns:xsi="http://www.w3.org/2001/XMLSchema-instance" xsi:type="dcterms:W3CDTF">2026-08-20T02:46:43Z</dcterms:modified>
</cp:coreProperties>
</file>