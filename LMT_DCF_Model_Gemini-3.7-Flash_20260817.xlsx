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.0"/>
    <numFmt numFmtId="166" formatCode="0.0%"/>
    <numFmt numFmtId="167" formatCode="0.0"/>
    <numFmt numFmtId="168" formatCode="0.0000"/>
    <numFmt numFmtId="169" formatCode="+0.00%;-0.00%"/>
    <numFmt numFmtId="170" formatCode="$#,##0.00;($#,##0.00);$0.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2060"/>
      <sz val="10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color rgb="00002060"/>
      <sz val="10"/>
    </font>
    <font>
      <name val="Calibri"/>
      <b val="1"/>
      <color rgb="001F4E79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0" fontId="4" fillId="5" borderId="3" pivotButton="0" quotePrefix="0" xfId="0"/>
    <xf numFmtId="0" fontId="4" fillId="5" borderId="3" applyAlignment="1" pivotButton="0" quotePrefix="0" xfId="0">
      <alignment horizontal="center" vertical="center"/>
    </xf>
    <xf numFmtId="0" fontId="4" fillId="6" borderId="1" pivotButton="0" quotePrefix="0" xfId="0"/>
    <xf numFmtId="166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4" fillId="4" borderId="1" pivotButton="0" quotePrefix="0" xfId="0"/>
    <xf numFmtId="166" fontId="4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4" fillId="0" borderId="2" pivotButton="0" quotePrefix="0" xfId="0"/>
    <xf numFmtId="165" fontId="4" fillId="5" borderId="2" applyAlignment="1" pivotButton="0" quotePrefix="0" xfId="0">
      <alignment horizontal="right" vertical="center"/>
    </xf>
    <xf numFmtId="0" fontId="0" fillId="0" borderId="3" pivotButton="0" quotePrefix="0" xfId="0"/>
    <xf numFmtId="167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9" fillId="0" borderId="2" pivotButton="0" quotePrefix="0" xfId="0"/>
    <xf numFmtId="165" fontId="9" fillId="0" borderId="2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4" fontId="10" fillId="4" borderId="2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9" fillId="0" borderId="1" pivotButton="0" quotePrefix="0" xfId="0"/>
    <xf numFmtId="169" fontId="9" fillId="0" borderId="1" applyAlignment="1" pivotButton="0" quotePrefix="0" xfId="0">
      <alignment horizontal="right" vertical="center"/>
    </xf>
    <xf numFmtId="0" fontId="6" fillId="0" borderId="0" pivotButton="0" quotePrefix="0" xfId="0"/>
    <xf numFmtId="166" fontId="4" fillId="5" borderId="3" applyAlignment="1" pivotButton="0" quotePrefix="0" xfId="0">
      <alignment horizontal="center" vertical="center"/>
    </xf>
    <xf numFmtId="166" fontId="4" fillId="4" borderId="3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center" vertical="center"/>
    </xf>
    <xf numFmtId="170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0" fontId="4" fillId="5" borderId="3" applyAlignment="1" pivotButton="0" quotePrefix="0" xfId="0">
      <alignment horizontal="center" vertical="center"/>
    </xf>
    <xf numFmtId="10" fontId="4" fillId="4" borderId="3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Equity Research</author>
  </authors>
  <commentList>
    <comment ref="B5" authorId="0" shapeId="0">
      <text>
        <t>Source: Model Control
Enter 1 for Bear Case
Enter 2 for Base Case
Enter 3 for Bull Case</t>
      </text>
    </comment>
    <comment ref="B8" authorId="0" shapeId="0">
      <text>
        <t>Source: NYSE Market Close, 2026-08-14</t>
      </text>
    </comment>
    <comment ref="B9" authorId="0" shapeId="0">
      <text>
        <t>Source: Form 10-Q Q2 2026, Weighted Average Diluted Shares</t>
      </text>
    </comment>
    <comment ref="B11" authorId="0" shapeId="0">
      <text>
        <t>Source: Form 10-Q Q2 2026 Consolidated Balance Sheet</t>
      </text>
    </comment>
    <comment ref="B12" authorId="0" shapeId="0">
      <text>
        <t>Source: Form 10-Q Q2 2026 Consolidated Balance Sheet</t>
      </text>
    </comment>
    <comment ref="B15" authorId="0" shapeId="0">
      <text>
        <t>Source: US Treasury 10-Year Constant Maturity Yield, 2026-08-14</t>
      </text>
    </comment>
    <comment ref="B16" authorId="0" shapeId="0">
      <text>
        <t>Source: Bloomberg/Barra 5-Year Adjusted Beta vs S&amp;P 500</t>
      </text>
    </comment>
    <comment ref="B17" authorId="0" shapeId="0">
      <text>
        <t>Source: Historical US Market Equity Risk Premium Benchmark</t>
      </text>
    </comment>
    <comment ref="B19" authorId="0" shapeId="0">
      <text>
        <t>Source: LMT Senior Unsecured Notes Yield / Rating A-</t>
      </text>
    </comment>
    <comment ref="B20" authorId="0" shapeId="0">
      <text>
        <t>Source: US Statutory Federal + State Composite Tax 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Lockheed Martin Corporation (NYSE: LMT)</t>
        </is>
      </c>
    </row>
    <row r="2">
      <c r="A2" s="2" t="inlineStr">
        <is>
          <t>Institutional DCF Valuation Model | Report Date: August 17, 2026 | Generated by: Gemini 3.7 Flash | SEC 10-Q (Q2 2026)</t>
        </is>
      </c>
    </row>
    <row r="4" ht="24" customHeight="1">
      <c r="A4" s="3" t="inlineStr">
        <is>
          <t>I. SCENARIO SELECTOR &amp; MODEL CONTROL</t>
        </is>
      </c>
    </row>
    <row r="5">
      <c r="A5" s="4" t="inlineStr">
        <is>
          <t>Active Scenario Selection (1 = Bear, 2 = Base, 3 = Bull)</t>
        </is>
      </c>
      <c r="B5" s="5" t="n">
        <v>2</v>
      </c>
      <c r="C5" s="6" t="inlineStr">
        <is>
          <t>Active Scenario Status:</t>
        </is>
      </c>
      <c r="D5" s="7">
        <f>IF(B5=1,"[1] BEAR CASE (Conservative)",IF(B5=2,"[2] BASE CASE (Consensus Baseline)","[3] BULL CASE (Optimistic Expansion)"))</f>
        <v/>
      </c>
      <c r="E5" s="8" t="n"/>
      <c r="F5" s="8" t="n"/>
      <c r="G5" s="8" t="n"/>
    </row>
    <row r="7" ht="24" customHeight="1">
      <c r="A7" s="3" t="inlineStr">
        <is>
          <t>II. MARKET DATA &amp; CAPITAL STRUCTURE INPUTS</t>
        </is>
      </c>
    </row>
    <row r="8">
      <c r="A8" s="9" t="inlineStr">
        <is>
          <t>Current Stock Price ($)</t>
        </is>
      </c>
      <c r="B8" s="10" t="n">
        <v>608.6799999999999</v>
      </c>
    </row>
    <row r="9">
      <c r="A9" s="9" t="inlineStr">
        <is>
          <t>Diluted Shares Outstanding (M)</t>
        </is>
      </c>
      <c r="B9" s="11" t="n">
        <v>230.8</v>
      </c>
    </row>
    <row r="10">
      <c r="A10" s="4" t="inlineStr">
        <is>
          <t>Market Capitalization ($M)</t>
        </is>
      </c>
      <c r="B10" s="12">
        <f>$B$8*$B$9</f>
        <v/>
      </c>
    </row>
    <row r="11">
      <c r="A11" s="9" t="inlineStr">
        <is>
          <t>Cash &amp; Cash Equivalents ($M)</t>
        </is>
      </c>
      <c r="B11" s="13" t="n">
        <v>3791</v>
      </c>
    </row>
    <row r="12">
      <c r="A12" s="9" t="inlineStr">
        <is>
          <t>Total Debt &amp; Lease Obligations ($M)</t>
        </is>
      </c>
      <c r="B12" s="13" t="n">
        <v>20538</v>
      </c>
    </row>
    <row r="13">
      <c r="A13" s="4" t="inlineStr">
        <is>
          <t>Net Debt ($M)</t>
        </is>
      </c>
      <c r="B13" s="12">
        <f>$B$12-$B$11</f>
        <v/>
      </c>
    </row>
    <row r="14">
      <c r="A14" s="4" t="inlineStr">
        <is>
          <t>Enterprise Value (Market EV, $M)</t>
        </is>
      </c>
      <c r="B14" s="12">
        <f>$B$10+$B$13</f>
        <v/>
      </c>
    </row>
    <row r="15">
      <c r="A15" s="9" t="inlineStr">
        <is>
          <t>Risk-Free Rate (Rf)</t>
        </is>
      </c>
      <c r="B15" s="14" t="n">
        <v>0.047</v>
      </c>
    </row>
    <row r="16">
      <c r="A16" s="9" t="inlineStr">
        <is>
          <t>Beta (Adjusted 5-Year)</t>
        </is>
      </c>
      <c r="B16" s="15" t="n">
        <v>0.65</v>
      </c>
    </row>
    <row r="17">
      <c r="A17" s="9" t="inlineStr">
        <is>
          <t>Equity Risk Premium (ERP)</t>
        </is>
      </c>
      <c r="B17" s="14" t="n">
        <v>0.055</v>
      </c>
    </row>
    <row r="18">
      <c r="A18" s="4" t="inlineStr">
        <is>
          <t>Cost of Equity (Ke) - CAPM</t>
        </is>
      </c>
      <c r="B18" s="16">
        <f>$B$15+$B$16*$B$17</f>
        <v/>
      </c>
    </row>
    <row r="19">
      <c r="A19" s="9" t="inlineStr">
        <is>
          <t>Pre-Tax Cost of Debt (Kd)</t>
        </is>
      </c>
      <c r="B19" s="14" t="n">
        <v>0.05</v>
      </c>
    </row>
    <row r="20">
      <c r="A20" s="9" t="inlineStr">
        <is>
          <t>Effective Tax Rate (t)</t>
        </is>
      </c>
      <c r="B20" s="14" t="n">
        <v>0.21</v>
      </c>
    </row>
    <row r="21">
      <c r="A21" s="9" t="inlineStr">
        <is>
          <t>After-Tax Cost of Debt</t>
        </is>
      </c>
      <c r="B21" s="17">
        <f>$B$19*(1-$B$20)</f>
        <v/>
      </c>
    </row>
    <row r="22">
      <c r="A22" s="9" t="inlineStr">
        <is>
          <t>Weight of Equity (We)</t>
        </is>
      </c>
      <c r="B22" s="17">
        <f>$B$10/$B$14</f>
        <v/>
      </c>
    </row>
    <row r="23">
      <c r="A23" s="9" t="inlineStr">
        <is>
          <t>Weight of Debt (Wd)</t>
        </is>
      </c>
      <c r="B23" s="17">
        <f>$B$13/$B$14</f>
        <v/>
      </c>
    </row>
    <row r="24">
      <c r="A24" s="4" t="inlineStr">
        <is>
          <t>Baseline Calculated WACC</t>
        </is>
      </c>
      <c r="B24" s="18">
        <f>($B$22*$B$18)+($B$23*$B$21)</f>
        <v/>
      </c>
    </row>
    <row r="26" ht="24" customHeight="1">
      <c r="A26" s="3" t="inlineStr">
        <is>
          <t>III. SCENARIO ASSUMPTIONS (BEAR / BASE / BULL)</t>
        </is>
      </c>
    </row>
    <row r="27">
      <c r="A27" s="19" t="inlineStr">
        <is>
          <t>Scenario Driver Metric</t>
        </is>
      </c>
      <c r="B27" s="20" t="inlineStr">
        <is>
          <t>Terminal</t>
        </is>
      </c>
      <c r="C27" s="20" t="inlineStr">
        <is>
          <t>FY2026E</t>
        </is>
      </c>
      <c r="D27" s="20" t="inlineStr">
        <is>
          <t>FY2027E</t>
        </is>
      </c>
      <c r="E27" s="20" t="inlineStr">
        <is>
          <t>FY2028E</t>
        </is>
      </c>
      <c r="F27" s="20" t="inlineStr">
        <is>
          <t>FY2029E</t>
        </is>
      </c>
      <c r="G27" s="20" t="inlineStr">
        <is>
          <t>FY2030E</t>
        </is>
      </c>
    </row>
    <row r="28">
      <c r="A28" s="21" t="inlineStr">
        <is>
          <t>1. BEAR CASE ASSUMPTIONS (Scenario 1)</t>
        </is>
      </c>
    </row>
    <row r="29">
      <c r="A29" s="9" t="inlineStr">
        <is>
          <t>Revenue Growth Rate (%)</t>
        </is>
      </c>
      <c r="B29" s="8" t="n"/>
      <c r="C29" s="22" t="n">
        <v>0.05</v>
      </c>
      <c r="D29" s="22" t="n">
        <v>0.035</v>
      </c>
      <c r="E29" s="22" t="n">
        <v>0.03</v>
      </c>
      <c r="F29" s="22" t="n">
        <v>0.025</v>
      </c>
      <c r="G29" s="22" t="n">
        <v>0.02</v>
      </c>
    </row>
    <row r="30">
      <c r="A30" s="9" t="inlineStr">
        <is>
          <t>EBIT Margin (%)</t>
        </is>
      </c>
      <c r="B30" s="8" t="n"/>
      <c r="C30" s="22" t="n">
        <v>0.102</v>
      </c>
      <c r="D30" s="22" t="n">
        <v>0.104</v>
      </c>
      <c r="E30" s="22" t="n">
        <v>0.105</v>
      </c>
      <c r="F30" s="22" t="n">
        <v>0.105</v>
      </c>
      <c r="G30" s="22" t="n">
        <v>0.105</v>
      </c>
    </row>
    <row r="31">
      <c r="A31" s="9" t="inlineStr">
        <is>
          <t>D&amp;A (% of Revenue)</t>
        </is>
      </c>
      <c r="B31" s="8" t="n"/>
      <c r="C31" s="22" t="n">
        <v>0.022</v>
      </c>
      <c r="D31" s="22" t="n">
        <v>0.022</v>
      </c>
      <c r="E31" s="22" t="n">
        <v>0.022</v>
      </c>
      <c r="F31" s="22" t="n">
        <v>0.022</v>
      </c>
      <c r="G31" s="22" t="n">
        <v>0.022</v>
      </c>
    </row>
    <row r="32">
      <c r="A32" s="9" t="inlineStr">
        <is>
          <t>CapEx (% of Revenue)</t>
        </is>
      </c>
      <c r="B32" s="8" t="n"/>
      <c r="C32" s="23" t="n">
        <v>0.0225</v>
      </c>
      <c r="D32" s="23" t="n">
        <v>0.0225</v>
      </c>
      <c r="E32" s="23" t="n">
        <v>0.0225</v>
      </c>
      <c r="F32" s="23" t="n">
        <v>0.0225</v>
      </c>
      <c r="G32" s="23" t="n">
        <v>0.0225</v>
      </c>
    </row>
    <row r="33">
      <c r="A33" s="9" t="inlineStr">
        <is>
          <t>Change in NWC (% of Delta Rev)</t>
        </is>
      </c>
      <c r="B33" s="8" t="n"/>
      <c r="C33" s="22" t="n">
        <v>0.02</v>
      </c>
      <c r="D33" s="22" t="n">
        <v>0.02</v>
      </c>
      <c r="E33" s="22" t="n">
        <v>0.02</v>
      </c>
      <c r="F33" s="22" t="n">
        <v>0.02</v>
      </c>
      <c r="G33" s="22" t="n">
        <v>0.02</v>
      </c>
    </row>
    <row r="34">
      <c r="A34" s="9" t="inlineStr">
        <is>
          <t>Terminal Growth Rate (g)</t>
        </is>
      </c>
      <c r="B34" s="14" t="n">
        <v>0.02</v>
      </c>
      <c r="C34" s="8" t="n"/>
      <c r="D34" s="8" t="n"/>
      <c r="E34" s="8" t="n"/>
      <c r="F34" s="8" t="n"/>
      <c r="G34" s="8" t="n"/>
    </row>
    <row r="35">
      <c r="A35" s="9" t="inlineStr">
        <is>
          <t>Scenario Discount Rate (WACC)</t>
        </is>
      </c>
      <c r="B35" s="14" t="n">
        <v>0.082</v>
      </c>
      <c r="C35" s="8" t="n"/>
      <c r="D35" s="8" t="n"/>
      <c r="E35" s="8" t="n"/>
      <c r="F35" s="8" t="n"/>
      <c r="G35" s="8" t="n"/>
    </row>
    <row r="36">
      <c r="A36" s="21" t="inlineStr">
        <is>
          <t>2. BASE CASE ASSUMPTIONS (Scenario 2 - Consensus Baseline)</t>
        </is>
      </c>
    </row>
    <row r="37">
      <c r="A37" s="9" t="inlineStr">
        <is>
          <t>Revenue Growth Rate (%)</t>
        </is>
      </c>
      <c r="B37" s="8" t="n"/>
      <c r="C37" s="22" t="n">
        <v>0.075</v>
      </c>
      <c r="D37" s="22" t="n">
        <v>0.055</v>
      </c>
      <c r="E37" s="22" t="n">
        <v>0.045</v>
      </c>
      <c r="F37" s="22" t="n">
        <v>0.038</v>
      </c>
      <c r="G37" s="22" t="n">
        <v>0.032</v>
      </c>
    </row>
    <row r="38">
      <c r="A38" s="9" t="inlineStr">
        <is>
          <t>EBIT Margin (%)</t>
        </is>
      </c>
      <c r="B38" s="8" t="n"/>
      <c r="C38" s="22" t="n">
        <v>0.11</v>
      </c>
      <c r="D38" s="22" t="n">
        <v>0.112</v>
      </c>
      <c r="E38" s="22" t="n">
        <v>0.114</v>
      </c>
      <c r="F38" s="22" t="n">
        <v>0.115</v>
      </c>
      <c r="G38" s="22" t="n">
        <v>0.115</v>
      </c>
    </row>
    <row r="39">
      <c r="A39" s="9" t="inlineStr">
        <is>
          <t>D&amp;A (% of Revenue)</t>
        </is>
      </c>
      <c r="B39" s="8" t="n"/>
      <c r="C39" s="22" t="n">
        <v>0.022</v>
      </c>
      <c r="D39" s="22" t="n">
        <v>0.022</v>
      </c>
      <c r="E39" s="22" t="n">
        <v>0.022</v>
      </c>
      <c r="F39" s="22" t="n">
        <v>0.022</v>
      </c>
      <c r="G39" s="22" t="n">
        <v>0.022</v>
      </c>
    </row>
    <row r="40">
      <c r="A40" s="9" t="inlineStr">
        <is>
          <t>CapEx (% of Revenue)</t>
        </is>
      </c>
      <c r="B40" s="8" t="n"/>
      <c r="C40" s="23" t="n">
        <v>0.0225</v>
      </c>
      <c r="D40" s="23" t="n">
        <v>0.0225</v>
      </c>
      <c r="E40" s="23" t="n">
        <v>0.0225</v>
      </c>
      <c r="F40" s="23" t="n">
        <v>0.0225</v>
      </c>
      <c r="G40" s="23" t="n">
        <v>0.0225</v>
      </c>
    </row>
    <row r="41">
      <c r="A41" s="9" t="inlineStr">
        <is>
          <t>Change in NWC (% of Delta Rev)</t>
        </is>
      </c>
      <c r="B41" s="8" t="n"/>
      <c r="C41" s="22" t="n">
        <v>0.02</v>
      </c>
      <c r="D41" s="22" t="n">
        <v>0.02</v>
      </c>
      <c r="E41" s="22" t="n">
        <v>0.02</v>
      </c>
      <c r="F41" s="22" t="n">
        <v>0.02</v>
      </c>
      <c r="G41" s="22" t="n">
        <v>0.02</v>
      </c>
    </row>
    <row r="42">
      <c r="A42" s="9" t="inlineStr">
        <is>
          <t>Terminal Growth Rate (g)</t>
        </is>
      </c>
      <c r="B42" s="14" t="n">
        <v>0.025</v>
      </c>
      <c r="C42" s="8" t="n"/>
      <c r="D42" s="8" t="n"/>
      <c r="E42" s="8" t="n"/>
      <c r="F42" s="8" t="n"/>
      <c r="G42" s="8" t="n"/>
    </row>
    <row r="43">
      <c r="A43" s="9" t="inlineStr">
        <is>
          <t>Scenario Discount Rate (WACC)</t>
        </is>
      </c>
      <c r="B43" s="16">
        <f>$B$24</f>
        <v/>
      </c>
      <c r="C43" s="8" t="n"/>
      <c r="D43" s="8" t="n"/>
      <c r="E43" s="8" t="n"/>
      <c r="F43" s="8" t="n"/>
      <c r="G43" s="8" t="n"/>
    </row>
    <row r="44">
      <c r="A44" s="21" t="inlineStr">
        <is>
          <t>3. BULL CASE ASSUMPTIONS (Scenario 3)</t>
        </is>
      </c>
    </row>
    <row r="45">
      <c r="A45" s="9" t="inlineStr">
        <is>
          <t>Revenue Growth Rate (%)</t>
        </is>
      </c>
      <c r="B45" s="8" t="n"/>
      <c r="C45" s="22" t="n">
        <v>0.09</v>
      </c>
      <c r="D45" s="22" t="n">
        <v>0.07000000000000001</v>
      </c>
      <c r="E45" s="22" t="n">
        <v>0.055</v>
      </c>
      <c r="F45" s="22" t="n">
        <v>0.045</v>
      </c>
      <c r="G45" s="22" t="n">
        <v>0.038</v>
      </c>
    </row>
    <row r="46">
      <c r="A46" s="9" t="inlineStr">
        <is>
          <t>EBIT Margin (%)</t>
        </is>
      </c>
      <c r="B46" s="8" t="n"/>
      <c r="C46" s="22" t="n">
        <v>0.115</v>
      </c>
      <c r="D46" s="22" t="n">
        <v>0.118</v>
      </c>
      <c r="E46" s="22" t="n">
        <v>0.12</v>
      </c>
      <c r="F46" s="22" t="n">
        <v>0.122</v>
      </c>
      <c r="G46" s="22" t="n">
        <v>0.122</v>
      </c>
    </row>
    <row r="47">
      <c r="A47" s="9" t="inlineStr">
        <is>
          <t>D&amp;A (% of Revenue)</t>
        </is>
      </c>
      <c r="B47" s="8" t="n"/>
      <c r="C47" s="22" t="n">
        <v>0.022</v>
      </c>
      <c r="D47" s="22" t="n">
        <v>0.022</v>
      </c>
      <c r="E47" s="22" t="n">
        <v>0.022</v>
      </c>
      <c r="F47" s="22" t="n">
        <v>0.022</v>
      </c>
      <c r="G47" s="22" t="n">
        <v>0.022</v>
      </c>
    </row>
    <row r="48">
      <c r="A48" s="9" t="inlineStr">
        <is>
          <t>CapEx (% of Revenue)</t>
        </is>
      </c>
      <c r="B48" s="8" t="n"/>
      <c r="C48" s="23" t="n">
        <v>0.0225</v>
      </c>
      <c r="D48" s="23" t="n">
        <v>0.0225</v>
      </c>
      <c r="E48" s="23" t="n">
        <v>0.0225</v>
      </c>
      <c r="F48" s="23" t="n">
        <v>0.0225</v>
      </c>
      <c r="G48" s="23" t="n">
        <v>0.0225</v>
      </c>
    </row>
    <row r="49">
      <c r="A49" s="9" t="inlineStr">
        <is>
          <t>Change in NWC (% of Delta Rev)</t>
        </is>
      </c>
      <c r="B49" s="8" t="n"/>
      <c r="C49" s="22" t="n">
        <v>0.02</v>
      </c>
      <c r="D49" s="22" t="n">
        <v>0.02</v>
      </c>
      <c r="E49" s="22" t="n">
        <v>0.02</v>
      </c>
      <c r="F49" s="22" t="n">
        <v>0.02</v>
      </c>
      <c r="G49" s="22" t="n">
        <v>0.02</v>
      </c>
    </row>
    <row r="50">
      <c r="A50" s="9" t="inlineStr">
        <is>
          <t>Terminal Growth Rate (g)</t>
        </is>
      </c>
      <c r="B50" s="14" t="n">
        <v>0.03</v>
      </c>
      <c r="C50" s="8" t="n"/>
      <c r="D50" s="8" t="n"/>
      <c r="E50" s="8" t="n"/>
      <c r="F50" s="8" t="n"/>
      <c r="G50" s="8" t="n"/>
    </row>
    <row r="51">
      <c r="A51" s="9" t="inlineStr">
        <is>
          <t>Scenario Discount Rate (WACC)</t>
        </is>
      </c>
      <c r="B51" s="14" t="n">
        <v>0.075</v>
      </c>
      <c r="C51" s="8" t="n"/>
      <c r="D51" s="8" t="n"/>
      <c r="E51" s="8" t="n"/>
      <c r="F51" s="8" t="n"/>
      <c r="G51" s="8" t="n"/>
    </row>
    <row r="52">
      <c r="A52" s="24" t="inlineStr">
        <is>
          <t>ACTIVE SCENARIO CONSOLIDATED DRIVERS (Dynamically Linked via Selector)</t>
        </is>
      </c>
    </row>
    <row r="53">
      <c r="A53" s="4" t="inlineStr">
        <is>
          <t>Active Revenue Growth (%)</t>
        </is>
      </c>
      <c r="B53" s="8" t="n"/>
      <c r="C53" s="25">
        <f>CHOOSE($B$5, C29, C37, C45)</f>
        <v/>
      </c>
      <c r="D53" s="25">
        <f>CHOOSE($B$5, D29, D37, D45)</f>
        <v/>
      </c>
      <c r="E53" s="25">
        <f>CHOOSE($B$5, E29, E37, E45)</f>
        <v/>
      </c>
      <c r="F53" s="25">
        <f>CHOOSE($B$5, F29, F37, F45)</f>
        <v/>
      </c>
      <c r="G53" s="25">
        <f>CHOOSE($B$5, G29, G37, G45)</f>
        <v/>
      </c>
    </row>
    <row r="54">
      <c r="A54" s="4" t="inlineStr">
        <is>
          <t>Active EBIT Margin (%)</t>
        </is>
      </c>
      <c r="B54" s="8" t="n"/>
      <c r="C54" s="25">
        <f>CHOOSE($B$5, C30, C38, C46)</f>
        <v/>
      </c>
      <c r="D54" s="25">
        <f>CHOOSE($B$5, D30, D38, D46)</f>
        <v/>
      </c>
      <c r="E54" s="25">
        <f>CHOOSE($B$5, E30, E38, E46)</f>
        <v/>
      </c>
      <c r="F54" s="25">
        <f>CHOOSE($B$5, F30, F38, F46)</f>
        <v/>
      </c>
      <c r="G54" s="25">
        <f>CHOOSE($B$5, G30, G38, G46)</f>
        <v/>
      </c>
    </row>
    <row r="55">
      <c r="A55" s="4" t="inlineStr">
        <is>
          <t>Active D&amp;A (% of Rev)</t>
        </is>
      </c>
      <c r="B55" s="8" t="n"/>
      <c r="C55" s="25">
        <f>CHOOSE($B$5, C31, C39, C47)</f>
        <v/>
      </c>
      <c r="D55" s="25">
        <f>CHOOSE($B$5, D31, D39, D47)</f>
        <v/>
      </c>
      <c r="E55" s="25">
        <f>CHOOSE($B$5, E31, E39, E47)</f>
        <v/>
      </c>
      <c r="F55" s="25">
        <f>CHOOSE($B$5, F31, F39, F47)</f>
        <v/>
      </c>
      <c r="G55" s="25">
        <f>CHOOSE($B$5, G31, G39, G47)</f>
        <v/>
      </c>
    </row>
    <row r="56">
      <c r="A56" s="4" t="inlineStr">
        <is>
          <t>Active CapEx (% of Rev)</t>
        </is>
      </c>
      <c r="B56" s="8" t="n"/>
      <c r="C56" s="16">
        <f>CHOOSE($B$5, C32, C40, C48)</f>
        <v/>
      </c>
      <c r="D56" s="16">
        <f>CHOOSE($B$5, D32, D40, D48)</f>
        <v/>
      </c>
      <c r="E56" s="16">
        <f>CHOOSE($B$5, E32, E40, E48)</f>
        <v/>
      </c>
      <c r="F56" s="16">
        <f>CHOOSE($B$5, F32, F40, F48)</f>
        <v/>
      </c>
      <c r="G56" s="16">
        <f>CHOOSE($B$5, G32, G40, G48)</f>
        <v/>
      </c>
    </row>
    <row r="57">
      <c r="A57" s="4" t="inlineStr">
        <is>
          <t>Active NWC (% of Delta Rev)</t>
        </is>
      </c>
      <c r="B57" s="8" t="n"/>
      <c r="C57" s="25">
        <f>CHOOSE($B$5, C33, C41, C49)</f>
        <v/>
      </c>
      <c r="D57" s="25">
        <f>CHOOSE($B$5, D33, D41, D49)</f>
        <v/>
      </c>
      <c r="E57" s="25">
        <f>CHOOSE($B$5, E33, E41, E49)</f>
        <v/>
      </c>
      <c r="F57" s="25">
        <f>CHOOSE($B$5, F33, F41, F49)</f>
        <v/>
      </c>
      <c r="G57" s="25">
        <f>CHOOSE($B$5, G33, G41, G49)</f>
        <v/>
      </c>
    </row>
    <row r="58">
      <c r="A58" s="4" t="inlineStr">
        <is>
          <t>Active Terminal Growth Rate (g)</t>
        </is>
      </c>
      <c r="B58" s="16">
        <f>CHOOSE($B$5, B34, B42, B50)</f>
        <v/>
      </c>
      <c r="C58" s="8" t="n"/>
      <c r="D58" s="8" t="n"/>
      <c r="E58" s="8" t="n"/>
      <c r="F58" s="8" t="n"/>
      <c r="G58" s="8" t="n"/>
    </row>
    <row r="59">
      <c r="A59" s="4" t="inlineStr">
        <is>
          <t>Active Scenario WACC</t>
        </is>
      </c>
      <c r="B59" s="16">
        <f>CHOOSE($B$5, B35, B43, B51)</f>
        <v/>
      </c>
      <c r="C59" s="8" t="n"/>
      <c r="D59" s="8" t="n"/>
      <c r="E59" s="8" t="n"/>
      <c r="F59" s="8" t="n"/>
      <c r="G59" s="8" t="n"/>
    </row>
    <row r="61" ht="24" customHeight="1">
      <c r="A61" s="3" t="inlineStr">
        <is>
          <t>IV. FINANCIAL PROJECTIONS &amp; UNLEVERED FREE CASH FLOW SCHEDULE ($M)</t>
        </is>
      </c>
    </row>
    <row r="62">
      <c r="A62" s="19" t="inlineStr">
        <is>
          <t>Financial Line Item ($M)</t>
        </is>
      </c>
      <c r="B62" s="20" t="inlineStr">
        <is>
          <t>FY2025A</t>
        </is>
      </c>
      <c r="C62" s="20" t="inlineStr">
        <is>
          <t>FY2026E</t>
        </is>
      </c>
      <c r="D62" s="20" t="inlineStr">
        <is>
          <t>FY2027E</t>
        </is>
      </c>
      <c r="E62" s="20" t="inlineStr">
        <is>
          <t>FY2028E</t>
        </is>
      </c>
      <c r="F62" s="20" t="inlineStr">
        <is>
          <t>FY2029E</t>
        </is>
      </c>
      <c r="G62" s="20" t="inlineStr">
        <is>
          <t>FY2030E</t>
        </is>
      </c>
    </row>
    <row r="63">
      <c r="A63" s="4" t="inlineStr">
        <is>
          <t>Total Revenue ($M)</t>
        </is>
      </c>
      <c r="B63" s="12" t="n">
        <v>75048</v>
      </c>
      <c r="C63" s="12">
        <f>$B$63*(1+C53)</f>
        <v/>
      </c>
      <c r="D63" s="12">
        <f>C63*(1+D53)</f>
        <v/>
      </c>
      <c r="E63" s="12">
        <f>D63*(1+E53)</f>
        <v/>
      </c>
      <c r="F63" s="12">
        <f>E63*(1+F53)</f>
        <v/>
      </c>
      <c r="G63" s="12">
        <f>F63*(1+G53)</f>
        <v/>
      </c>
    </row>
    <row r="64">
      <c r="A64" s="9" t="inlineStr">
        <is>
          <t xml:space="preserve">  Revenue Growth YoY (%)</t>
        </is>
      </c>
      <c r="B64" s="26" t="inlineStr">
        <is>
          <t>-</t>
        </is>
      </c>
      <c r="C64" s="26">
        <f>(C63-B63)/B63</f>
        <v/>
      </c>
      <c r="D64" s="26">
        <f>(D63-C63)/C63</f>
        <v/>
      </c>
      <c r="E64" s="26">
        <f>(E63-D63)/D63</f>
        <v/>
      </c>
      <c r="F64" s="26">
        <f>(F63-E63)/E63</f>
        <v/>
      </c>
      <c r="G64" s="26">
        <f>(G63-F63)/F63</f>
        <v/>
      </c>
    </row>
    <row r="65">
      <c r="A65" s="4" t="inlineStr">
        <is>
          <t>Operating Income / EBIT ($M)</t>
        </is>
      </c>
      <c r="B65" s="12" t="n">
        <v>7040</v>
      </c>
      <c r="C65" s="12">
        <f>C63*C54</f>
        <v/>
      </c>
      <c r="D65" s="12">
        <f>D63*D54</f>
        <v/>
      </c>
      <c r="E65" s="12">
        <f>E63*E54</f>
        <v/>
      </c>
      <c r="F65" s="12">
        <f>F63*F54</f>
        <v/>
      </c>
      <c r="G65" s="12">
        <f>G63*G54</f>
        <v/>
      </c>
    </row>
    <row r="66">
      <c r="A66" s="9" t="inlineStr">
        <is>
          <t xml:space="preserve">  EBIT Margin (%)</t>
        </is>
      </c>
      <c r="B66" s="26">
        <f>B65/B63</f>
        <v/>
      </c>
      <c r="C66" s="26">
        <f>C65/C63</f>
        <v/>
      </c>
      <c r="D66" s="26">
        <f>D65/D63</f>
        <v/>
      </c>
      <c r="E66" s="26">
        <f>E65/E63</f>
        <v/>
      </c>
      <c r="F66" s="26">
        <f>F65/F63</f>
        <v/>
      </c>
      <c r="G66" s="26">
        <f>G65/G63</f>
        <v/>
      </c>
    </row>
    <row r="67">
      <c r="A67" s="9" t="inlineStr">
        <is>
          <t>(-) Taxes on Operating Profit (21.0%)</t>
        </is>
      </c>
      <c r="B67" s="27" t="n">
        <v>905</v>
      </c>
      <c r="C67" s="27">
        <f>C65*$B$20</f>
        <v/>
      </c>
      <c r="D67" s="27">
        <f>D65*$B$20</f>
        <v/>
      </c>
      <c r="E67" s="27">
        <f>E65*$B$20</f>
        <v/>
      </c>
      <c r="F67" s="27">
        <f>F65*$B$20</f>
        <v/>
      </c>
      <c r="G67" s="27">
        <f>G65*$B$20</f>
        <v/>
      </c>
    </row>
    <row r="68">
      <c r="A68" s="4" t="inlineStr">
        <is>
          <t>Net Operating Profit After Tax (NOPAT)</t>
        </is>
      </c>
      <c r="B68" s="12">
        <f>B65-B67</f>
        <v/>
      </c>
      <c r="C68" s="12">
        <f>C65-C67</f>
        <v/>
      </c>
      <c r="D68" s="12">
        <f>D65-D67</f>
        <v/>
      </c>
      <c r="E68" s="12">
        <f>E65-E67</f>
        <v/>
      </c>
      <c r="F68" s="12">
        <f>F65-F67</f>
        <v/>
      </c>
      <c r="G68" s="12">
        <f>G65-G67</f>
        <v/>
      </c>
    </row>
    <row r="69">
      <c r="A69" s="9" t="inlineStr">
        <is>
          <t>(+) Depreciation &amp; Amortization (D&amp;A)</t>
        </is>
      </c>
      <c r="B69" s="27" t="n">
        <v>1687</v>
      </c>
      <c r="C69" s="27">
        <f>C63*C55</f>
        <v/>
      </c>
      <c r="D69" s="27">
        <f>D63*D55</f>
        <v/>
      </c>
      <c r="E69" s="27">
        <f>E63*E55</f>
        <v/>
      </c>
      <c r="F69" s="27">
        <f>F63*F55</f>
        <v/>
      </c>
      <c r="G69" s="27">
        <f>G63*G55</f>
        <v/>
      </c>
    </row>
    <row r="70">
      <c r="A70" s="9" t="inlineStr">
        <is>
          <t>(-) Capital Expenditures (CapEx)</t>
        </is>
      </c>
      <c r="B70" s="27" t="n">
        <v>1649</v>
      </c>
      <c r="C70" s="27">
        <f>C63*C56</f>
        <v/>
      </c>
      <c r="D70" s="27">
        <f>D63*D56</f>
        <v/>
      </c>
      <c r="E70" s="27">
        <f>E63*E56</f>
        <v/>
      </c>
      <c r="F70" s="27">
        <f>F63*F56</f>
        <v/>
      </c>
      <c r="G70" s="27">
        <f>G63*G56</f>
        <v/>
      </c>
    </row>
    <row r="71">
      <c r="A71" s="9" t="inlineStr">
        <is>
          <t>(-) Change in Net Working Capital (Δ NWC)</t>
        </is>
      </c>
      <c r="B71" s="27" t="n">
        <v>186</v>
      </c>
      <c r="C71" s="27">
        <f>(C63-B63)*C57</f>
        <v/>
      </c>
      <c r="D71" s="27">
        <f>(D63-C63)*D57</f>
        <v/>
      </c>
      <c r="E71" s="27">
        <f>(E63-D63)*E57</f>
        <v/>
      </c>
      <c r="F71" s="27">
        <f>(F63-E63)*F57</f>
        <v/>
      </c>
      <c r="G71" s="27">
        <f>(G63-F63)*G57</f>
        <v/>
      </c>
    </row>
    <row r="72">
      <c r="A72" s="28" t="inlineStr">
        <is>
          <t>Unlevered Free Cash Flow (UFCF) ($M)</t>
        </is>
      </c>
      <c r="B72" s="29" t="n">
        <v>6908</v>
      </c>
      <c r="C72" s="29">
        <f>C68+C69-C70-C71</f>
        <v/>
      </c>
      <c r="D72" s="29">
        <f>D68+D69-D70-D71</f>
        <v/>
      </c>
      <c r="E72" s="29">
        <f>E68+E69-E70-E71</f>
        <v/>
      </c>
      <c r="F72" s="29">
        <f>F68+F69-F70-F71</f>
        <v/>
      </c>
      <c r="G72" s="29">
        <f>G68+G69-G70-G71</f>
        <v/>
      </c>
    </row>
    <row r="73">
      <c r="A73" s="9" t="inlineStr">
        <is>
          <t xml:space="preserve">  FCF Conversion (% of Revenue)</t>
        </is>
      </c>
      <c r="B73" s="26">
        <f>B72/B63</f>
        <v/>
      </c>
      <c r="C73" s="26">
        <f>C72/C63</f>
        <v/>
      </c>
      <c r="D73" s="26">
        <f>D72/D63</f>
        <v/>
      </c>
      <c r="E73" s="26">
        <f>E72/E63</f>
        <v/>
      </c>
      <c r="F73" s="26">
        <f>F72/F63</f>
        <v/>
      </c>
      <c r="G73" s="26">
        <f>G72/G63</f>
        <v/>
      </c>
    </row>
    <row r="75" ht="24" customHeight="1">
      <c r="A75" s="3" t="inlineStr">
        <is>
          <t>V. DISCOUNTED CASH FLOW &amp; VALUATION BRIDGE ($M)</t>
        </is>
      </c>
    </row>
    <row r="76">
      <c r="A76" s="19" t="inlineStr">
        <is>
          <t>Valuation Parameter / Cash Flow Item</t>
        </is>
      </c>
      <c r="B76" s="30" t="n"/>
      <c r="C76" s="20" t="inlineStr">
        <is>
          <t>FY2026E</t>
        </is>
      </c>
      <c r="D76" s="20" t="inlineStr">
        <is>
          <t>FY2027E</t>
        </is>
      </c>
      <c r="E76" s="20" t="inlineStr">
        <is>
          <t>FY2028E</t>
        </is>
      </c>
      <c r="F76" s="20" t="inlineStr">
        <is>
          <t>FY2029E</t>
        </is>
      </c>
      <c r="G76" s="20" t="inlineStr">
        <is>
          <t>FY2030E</t>
        </is>
      </c>
    </row>
    <row r="77">
      <c r="A77" s="4" t="inlineStr">
        <is>
          <t>Unlevered Free Cash Flow ($M)</t>
        </is>
      </c>
      <c r="B77" s="8" t="n"/>
      <c r="C77" s="12">
        <f>C72</f>
        <v/>
      </c>
      <c r="D77" s="12">
        <f>D72</f>
        <v/>
      </c>
      <c r="E77" s="12">
        <f>E72</f>
        <v/>
      </c>
      <c r="F77" s="12">
        <f>F72</f>
        <v/>
      </c>
      <c r="G77" s="12">
        <f>G72</f>
        <v/>
      </c>
    </row>
    <row r="78">
      <c r="A78" s="9" t="inlineStr">
        <is>
          <t>Mid-Year Discount Period (t)</t>
        </is>
      </c>
      <c r="B78" s="8" t="n"/>
      <c r="C78" s="31" t="n">
        <v>0.5</v>
      </c>
      <c r="D78" s="31" t="n">
        <v>1.5</v>
      </c>
      <c r="E78" s="31" t="n">
        <v>2.5</v>
      </c>
      <c r="F78" s="31" t="n">
        <v>3.5</v>
      </c>
      <c r="G78" s="31" t="n">
        <v>4.5</v>
      </c>
    </row>
    <row r="79">
      <c r="A79" s="9" t="inlineStr">
        <is>
          <t>Discount Factor</t>
        </is>
      </c>
      <c r="B79" s="8" t="n"/>
      <c r="C79" s="32">
        <f>1/(1+$B$59)^C78</f>
        <v/>
      </c>
      <c r="D79" s="32">
        <f>1/(1+$B$59)^D78</f>
        <v/>
      </c>
      <c r="E79" s="32">
        <f>1/(1+$B$59)^E78</f>
        <v/>
      </c>
      <c r="F79" s="32">
        <f>1/(1+$B$59)^F78</f>
        <v/>
      </c>
      <c r="G79" s="32">
        <f>1/(1+$B$59)^G78</f>
        <v/>
      </c>
    </row>
    <row r="80">
      <c r="A80" s="4" t="inlineStr">
        <is>
          <t>Present Value of UFCF (PV of FCF) ($M)</t>
        </is>
      </c>
      <c r="B80" s="8" t="n"/>
      <c r="C80" s="33">
        <f>C77*C79</f>
        <v/>
      </c>
      <c r="D80" s="33">
        <f>D77*D79</f>
        <v/>
      </c>
      <c r="E80" s="33">
        <f>E77*E79</f>
        <v/>
      </c>
      <c r="F80" s="33">
        <f>F77*F79</f>
        <v/>
      </c>
      <c r="G80" s="33">
        <f>G77*G79</f>
        <v/>
      </c>
    </row>
    <row r="82">
      <c r="A82" s="4" t="inlineStr">
        <is>
          <t>Cumulative PV of 5-Year Explicit FCFs ($M)</t>
        </is>
      </c>
      <c r="B82" s="12">
        <f>SUM(C80:G80)</f>
        <v/>
      </c>
    </row>
    <row r="83">
      <c r="A83" s="9" t="inlineStr">
        <is>
          <t>Normalized Terminal Year FCF (FY2031E) ($M)</t>
        </is>
      </c>
      <c r="B83" s="27">
        <f>G77*(1+$B$58)</f>
        <v/>
      </c>
    </row>
    <row r="84">
      <c r="A84" s="4" t="inlineStr">
        <is>
          <t>Terminal Value at FY2030 (TV) ($M)</t>
        </is>
      </c>
      <c r="B84" s="12">
        <f>B83/($B$59-$B$58)</f>
        <v/>
      </c>
    </row>
    <row r="85">
      <c r="A85" s="4" t="inlineStr">
        <is>
          <t>Present Value of Terminal Value (PV of TV) ($M)</t>
        </is>
      </c>
      <c r="B85" s="12">
        <f>B84/(1+$B$59)^G78</f>
        <v/>
      </c>
    </row>
    <row r="86">
      <c r="A86" s="34" t="inlineStr">
        <is>
          <t>Enterprise Value (EV) ($M)</t>
        </is>
      </c>
      <c r="B86" s="35">
        <f>B82+B85</f>
        <v/>
      </c>
    </row>
    <row r="87">
      <c r="A87" s="9" t="inlineStr">
        <is>
          <t>(-) Total Debt Obligations ($M)</t>
        </is>
      </c>
      <c r="B87" s="27">
        <f>$B$12</f>
        <v/>
      </c>
    </row>
    <row r="88">
      <c r="A88" s="9" t="inlineStr">
        <is>
          <t>(+) Cash &amp; Cash Equivalents ($M)</t>
        </is>
      </c>
      <c r="B88" s="27">
        <f>$B$11</f>
        <v/>
      </c>
    </row>
    <row r="89">
      <c r="A89" s="4" t="inlineStr">
        <is>
          <t>(-) Net Debt ($M)</t>
        </is>
      </c>
      <c r="B89" s="12">
        <f>B87-B88</f>
        <v/>
      </c>
    </row>
    <row r="90">
      <c r="A90" s="34" t="inlineStr">
        <is>
          <t>Implied Equity Value ($M)</t>
        </is>
      </c>
      <c r="B90" s="35">
        <f>B86-B89</f>
        <v/>
      </c>
    </row>
    <row r="91">
      <c r="A91" s="9" t="inlineStr">
        <is>
          <t>Diluted Shares Outstanding (M)</t>
        </is>
      </c>
      <c r="B91" s="36">
        <f>$B$9</f>
        <v/>
      </c>
    </row>
    <row r="92">
      <c r="A92" s="34" t="inlineStr">
        <is>
          <t>Implied Target Share Price ($ / Share)</t>
        </is>
      </c>
      <c r="B92" s="37">
        <f>B90/B91</f>
        <v/>
      </c>
    </row>
    <row r="93">
      <c r="A93" s="9" t="inlineStr">
        <is>
          <t>Current Market Share Price ($ / Share)</t>
        </is>
      </c>
      <c r="B93" s="38">
        <f>$B$8</f>
        <v/>
      </c>
    </row>
    <row r="94">
      <c r="A94" s="39" t="inlineStr">
        <is>
          <t>Implied Upside / (Downside) (%)</t>
        </is>
      </c>
      <c r="B94" s="40">
        <f>(B92-B93)/B93</f>
        <v/>
      </c>
    </row>
    <row r="96" ht="24" customHeight="1">
      <c r="A96" s="3" t="inlineStr">
        <is>
          <t>VI. SENSITIVITY ANALYSIS (5x5 INSTITUTIONAL VALUATION GRIDS)</t>
        </is>
      </c>
    </row>
    <row r="97">
      <c r="A97" s="41" t="inlineStr">
        <is>
          <t>Sensitivity Table 1: Implied Share Price ($) vs. WACC and Perpetual Terminal Growth Rate (g)</t>
        </is>
      </c>
    </row>
    <row r="98">
      <c r="A98" s="20" t="inlineStr">
        <is>
          <t>WACC \ g</t>
        </is>
      </c>
      <c r="B98" s="42" t="n">
        <v>0.015</v>
      </c>
      <c r="C98" s="42" t="n">
        <v>0.02</v>
      </c>
      <c r="D98" s="43" t="n">
        <v>0.025</v>
      </c>
      <c r="E98" s="42" t="n">
        <v>0.03</v>
      </c>
      <c r="F98" s="42" t="n">
        <v>0.035</v>
      </c>
    </row>
    <row r="99">
      <c r="A99" s="44" t="n">
        <v>0.06809999999999999</v>
      </c>
      <c r="B99" s="45">
        <f>(($C$77/(1+$A99)^0.5 + $D$77/(1+$A99)^1.5 + $E$77/(1+$A99)^2.5 + $F$77/(1+$A99)^3.5 + $G$77/(1+$A99)^4.5 + ($G$77*(1+B$98)/($A99-B$98))/(1+$A99)^4.5) - $B$89)/$B$91</f>
        <v/>
      </c>
      <c r="C99" s="45">
        <f>(($C$77/(1+$A99)^0.5 + $D$77/(1+$A99)^1.5 + $E$77/(1+$A99)^2.5 + $F$77/(1+$A99)^3.5 + $G$77/(1+$A99)^4.5 + ($G$77*(1+C$98)/($A99-C$98))/(1+$A99)^4.5) - $B$89)/$B$91</f>
        <v/>
      </c>
      <c r="D99" s="45">
        <f>(($C$77/(1+$A99)^0.5 + $D$77/(1+$A99)^1.5 + $E$77/(1+$A99)^2.5 + $F$77/(1+$A99)^3.5 + $G$77/(1+$A99)^4.5 + ($G$77*(1+D$98)/($A99-D$98))/(1+$A99)^4.5) - $B$89)/$B$91</f>
        <v/>
      </c>
      <c r="E99" s="45">
        <f>(($C$77/(1+$A99)^0.5 + $D$77/(1+$A99)^1.5 + $E$77/(1+$A99)^2.5 + $F$77/(1+$A99)^3.5 + $G$77/(1+$A99)^4.5 + ($G$77*(1+E$98)/($A99-E$98))/(1+$A99)^4.5) - $B$89)/$B$91</f>
        <v/>
      </c>
      <c r="F99" s="45">
        <f>(($C$77/(1+$A99)^0.5 + $D$77/(1+$A99)^1.5 + $E$77/(1+$A99)^2.5 + $F$77/(1+$A99)^3.5 + $G$77/(1+$A99)^4.5 + ($G$77*(1+F$98)/($A99-F$98))/(1+$A99)^4.5) - $B$89)/$B$91</f>
        <v/>
      </c>
    </row>
    <row r="100">
      <c r="A100" s="44" t="n">
        <v>0.0731</v>
      </c>
      <c r="B100" s="45">
        <f>(($C$77/(1+$A100)^0.5 + $D$77/(1+$A100)^1.5 + $E$77/(1+$A100)^2.5 + $F$77/(1+$A100)^3.5 + $G$77/(1+$A100)^4.5 + ($G$77*(1+B$98)/($A100-B$98))/(1+$A100)^4.5) - $B$89)/$B$91</f>
        <v/>
      </c>
      <c r="C100" s="45">
        <f>(($C$77/(1+$A100)^0.5 + $D$77/(1+$A100)^1.5 + $E$77/(1+$A100)^2.5 + $F$77/(1+$A100)^3.5 + $G$77/(1+$A100)^4.5 + ($G$77*(1+C$98)/($A100-C$98))/(1+$A100)^4.5) - $B$89)/$B$91</f>
        <v/>
      </c>
      <c r="D100" s="45">
        <f>(($C$77/(1+$A100)^0.5 + $D$77/(1+$A100)^1.5 + $E$77/(1+$A100)^2.5 + $F$77/(1+$A100)^3.5 + $G$77/(1+$A100)^4.5 + ($G$77*(1+D$98)/($A100-D$98))/(1+$A100)^4.5) - $B$89)/$B$91</f>
        <v/>
      </c>
      <c r="E100" s="45">
        <f>(($C$77/(1+$A100)^0.5 + $D$77/(1+$A100)^1.5 + $E$77/(1+$A100)^2.5 + $F$77/(1+$A100)^3.5 + $G$77/(1+$A100)^4.5 + ($G$77*(1+E$98)/($A100-E$98))/(1+$A100)^4.5) - $B$89)/$B$91</f>
        <v/>
      </c>
      <c r="F100" s="45">
        <f>(($C$77/(1+$A100)^0.5 + $D$77/(1+$A100)^1.5 + $E$77/(1+$A100)^2.5 + $F$77/(1+$A100)^3.5 + $G$77/(1+$A100)^4.5 + ($G$77*(1+F$98)/($A100-F$98))/(1+$A100)^4.5) - $B$89)/$B$91</f>
        <v/>
      </c>
    </row>
    <row r="101">
      <c r="A101" s="46" t="n">
        <v>0.0781</v>
      </c>
      <c r="B101" s="45">
        <f>(($C$77/(1+$A101)^0.5 + $D$77/(1+$A101)^1.5 + $E$77/(1+$A101)^2.5 + $F$77/(1+$A101)^3.5 + $G$77/(1+$A101)^4.5 + ($G$77*(1+B$98)/($A101-B$98))/(1+$A101)^4.5) - $B$89)/$B$91</f>
        <v/>
      </c>
      <c r="C101" s="45">
        <f>(($C$77/(1+$A101)^0.5 + $D$77/(1+$A101)^1.5 + $E$77/(1+$A101)^2.5 + $F$77/(1+$A101)^3.5 + $G$77/(1+$A101)^4.5 + ($G$77*(1+C$98)/($A101-C$98))/(1+$A101)^4.5) - $B$89)/$B$91</f>
        <v/>
      </c>
      <c r="D101" s="47">
        <f>(($C$77/(1+$A101)^0.5 + $D$77/(1+$A101)^1.5 + $E$77/(1+$A101)^2.5 + $F$77/(1+$A101)^3.5 + $G$77/(1+$A101)^4.5 + ($G$77*(1+D$98)/($A101-D$98))/(1+$A101)^4.5) - $B$89)/$B$91</f>
        <v/>
      </c>
      <c r="E101" s="45">
        <f>(($C$77/(1+$A101)^0.5 + $D$77/(1+$A101)^1.5 + $E$77/(1+$A101)^2.5 + $F$77/(1+$A101)^3.5 + $G$77/(1+$A101)^4.5 + ($G$77*(1+E$98)/($A101-E$98))/(1+$A101)^4.5) - $B$89)/$B$91</f>
        <v/>
      </c>
      <c r="F101" s="45">
        <f>(($C$77/(1+$A101)^0.5 + $D$77/(1+$A101)^1.5 + $E$77/(1+$A101)^2.5 + $F$77/(1+$A101)^3.5 + $G$77/(1+$A101)^4.5 + ($G$77*(1+F$98)/($A101-F$98))/(1+$A101)^4.5) - $B$89)/$B$91</f>
        <v/>
      </c>
    </row>
    <row r="102">
      <c r="A102" s="44" t="n">
        <v>0.08309999999999999</v>
      </c>
      <c r="B102" s="45">
        <f>(($C$77/(1+$A102)^0.5 + $D$77/(1+$A102)^1.5 + $E$77/(1+$A102)^2.5 + $F$77/(1+$A102)^3.5 + $G$77/(1+$A102)^4.5 + ($G$77*(1+B$98)/($A102-B$98))/(1+$A102)^4.5) - $B$89)/$B$91</f>
        <v/>
      </c>
      <c r="C102" s="45">
        <f>(($C$77/(1+$A102)^0.5 + $D$77/(1+$A102)^1.5 + $E$77/(1+$A102)^2.5 + $F$77/(1+$A102)^3.5 + $G$77/(1+$A102)^4.5 + ($G$77*(1+C$98)/($A102-C$98))/(1+$A102)^4.5) - $B$89)/$B$91</f>
        <v/>
      </c>
      <c r="D102" s="45">
        <f>(($C$77/(1+$A102)^0.5 + $D$77/(1+$A102)^1.5 + $E$77/(1+$A102)^2.5 + $F$77/(1+$A102)^3.5 + $G$77/(1+$A102)^4.5 + ($G$77*(1+D$98)/($A102-D$98))/(1+$A102)^4.5) - $B$89)/$B$91</f>
        <v/>
      </c>
      <c r="E102" s="45">
        <f>(($C$77/(1+$A102)^0.5 + $D$77/(1+$A102)^1.5 + $E$77/(1+$A102)^2.5 + $F$77/(1+$A102)^3.5 + $G$77/(1+$A102)^4.5 + ($G$77*(1+E$98)/($A102-E$98))/(1+$A102)^4.5) - $B$89)/$B$91</f>
        <v/>
      </c>
      <c r="F102" s="45">
        <f>(($C$77/(1+$A102)^0.5 + $D$77/(1+$A102)^1.5 + $E$77/(1+$A102)^2.5 + $F$77/(1+$A102)^3.5 + $G$77/(1+$A102)^4.5 + ($G$77*(1+F$98)/($A102-F$98))/(1+$A102)^4.5) - $B$89)/$B$91</f>
        <v/>
      </c>
    </row>
    <row r="103">
      <c r="A103" s="44" t="n">
        <v>0.0881</v>
      </c>
      <c r="B103" s="45">
        <f>(($C$77/(1+$A103)^0.5 + $D$77/(1+$A103)^1.5 + $E$77/(1+$A103)^2.5 + $F$77/(1+$A103)^3.5 + $G$77/(1+$A103)^4.5 + ($G$77*(1+B$98)/($A103-B$98))/(1+$A103)^4.5) - $B$89)/$B$91</f>
        <v/>
      </c>
      <c r="C103" s="45">
        <f>(($C$77/(1+$A103)^0.5 + $D$77/(1+$A103)^1.5 + $E$77/(1+$A103)^2.5 + $F$77/(1+$A103)^3.5 + $G$77/(1+$A103)^4.5 + ($G$77*(1+C$98)/($A103-C$98))/(1+$A103)^4.5) - $B$89)/$B$91</f>
        <v/>
      </c>
      <c r="D103" s="45">
        <f>(($C$77/(1+$A103)^0.5 + $D$77/(1+$A103)^1.5 + $E$77/(1+$A103)^2.5 + $F$77/(1+$A103)^3.5 + $G$77/(1+$A103)^4.5 + ($G$77*(1+D$98)/($A103-D$98))/(1+$A103)^4.5) - $B$89)/$B$91</f>
        <v/>
      </c>
      <c r="E103" s="45">
        <f>(($C$77/(1+$A103)^0.5 + $D$77/(1+$A103)^1.5 + $E$77/(1+$A103)^2.5 + $F$77/(1+$A103)^3.5 + $G$77/(1+$A103)^4.5 + ($G$77*(1+E$98)/($A103-E$98))/(1+$A103)^4.5) - $B$89)/$B$91</f>
        <v/>
      </c>
      <c r="F103" s="45">
        <f>(($C$77/(1+$A103)^0.5 + $D$77/(1+$A103)^1.5 + $E$77/(1+$A103)^2.5 + $F$77/(1+$A103)^3.5 + $G$77/(1+$A103)^4.5 + ($G$77*(1+F$98)/($A103-F$98))/(1+$A103)^4.5) - $B$89)/$B$91</f>
        <v/>
      </c>
    </row>
    <row r="105">
      <c r="A105" s="41" t="inlineStr">
        <is>
          <t>Sensitivity Table 2: Implied Share Price ($) vs. FY2026E Revenue Growth Rate &amp; EBIT Margin</t>
        </is>
      </c>
    </row>
    <row r="106">
      <c r="A106" s="20" t="inlineStr">
        <is>
          <t>Growth \ Margin</t>
        </is>
      </c>
      <c r="B106" s="42" t="n">
        <v>0.1</v>
      </c>
      <c r="C106" s="42" t="n">
        <v>0.105</v>
      </c>
      <c r="D106" s="43" t="n">
        <v>0.11</v>
      </c>
      <c r="E106" s="42" t="n">
        <v>0.115</v>
      </c>
      <c r="F106" s="42" t="n">
        <v>0.12</v>
      </c>
    </row>
    <row r="107">
      <c r="A107" s="48" t="n">
        <v>0.055</v>
      </c>
      <c r="B107" s="45">
        <f>((((($B$63*(1+$A107)*B$106*(1-$B$20)) + ($B$63*(1+$A107)*$C$55) - ($B$63*(1+$A107)*$C$56) - ($B$63*(1+$A107)-$B$63)*$C$57)/(1+$B$59)^0.5) + ($D$77*((1+$A107)/(1+$C$53))*(B$106/$C$54)/(1+$B$59)^1.5) + ($E$77*((1+$A107)/(1+$C$53))*(B$106/$C$54)/(1+$B$59)^2.5) + ($F$77*((1+$A107)/(1+$C$53))*(B$106/$C$54)/(1+$B$59)^3.5) + ($G$77*((1+$A107)/(1+$C$53))*(B$106/$C$54)/(1+$B$59)^4.5)) + (($G$77*((1+$A107)/(1+$C$53))*(B$106/$C$54)*(1+$B$58)/($B$59-$B$58))/(1+$B$59)^4.5) - $B$89)/$B$91</f>
        <v/>
      </c>
      <c r="C107" s="45">
        <f>((((($B$63*(1+$A107)*C$106*(1-$B$20)) + ($B$63*(1+$A107)*$C$55) - ($B$63*(1+$A107)*$C$56) - ($B$63*(1+$A107)-$B$63)*$C$57)/(1+$B$59)^0.5) + ($D$77*((1+$A107)/(1+$C$53))*(C$106/$C$54)/(1+$B$59)^1.5) + ($E$77*((1+$A107)/(1+$C$53))*(C$106/$C$54)/(1+$B$59)^2.5) + ($F$77*((1+$A107)/(1+$C$53))*(C$106/$C$54)/(1+$B$59)^3.5) + ($G$77*((1+$A107)/(1+$C$53))*(C$106/$C$54)/(1+$B$59)^4.5)) + (($G$77*((1+$A107)/(1+$C$53))*(C$106/$C$54)*(1+$B$58)/($B$59-$B$58))/(1+$B$59)^4.5) - $B$89)/$B$91</f>
        <v/>
      </c>
      <c r="D107" s="45">
        <f>((((($B$63*(1+$A107)*D$106*(1-$B$20)) + ($B$63*(1+$A107)*$C$55) - ($B$63*(1+$A107)*$C$56) - ($B$63*(1+$A107)-$B$63)*$C$57)/(1+$B$59)^0.5) + ($D$77*((1+$A107)/(1+$C$53))*(D$106/$C$54)/(1+$B$59)^1.5) + ($E$77*((1+$A107)/(1+$C$53))*(D$106/$C$54)/(1+$B$59)^2.5) + ($F$77*((1+$A107)/(1+$C$53))*(D$106/$C$54)/(1+$B$59)^3.5) + ($G$77*((1+$A107)/(1+$C$53))*(D$106/$C$54)/(1+$B$59)^4.5)) + (($G$77*((1+$A107)/(1+$C$53))*(D$106/$C$54)*(1+$B$58)/($B$59-$B$58))/(1+$B$59)^4.5) - $B$89)/$B$91</f>
        <v/>
      </c>
      <c r="E107" s="45">
        <f>((((($B$63*(1+$A107)*E$106*(1-$B$20)) + ($B$63*(1+$A107)*$C$55) - ($B$63*(1+$A107)*$C$56) - ($B$63*(1+$A107)-$B$63)*$C$57)/(1+$B$59)^0.5) + ($D$77*((1+$A107)/(1+$C$53))*(E$106/$C$54)/(1+$B$59)^1.5) + ($E$77*((1+$A107)/(1+$C$53))*(E$106/$C$54)/(1+$B$59)^2.5) + ($F$77*((1+$A107)/(1+$C$53))*(E$106/$C$54)/(1+$B$59)^3.5) + ($G$77*((1+$A107)/(1+$C$53))*(E$106/$C$54)/(1+$B$59)^4.5)) + (($G$77*((1+$A107)/(1+$C$53))*(E$106/$C$54)*(1+$B$58)/($B$59-$B$58))/(1+$B$59)^4.5) - $B$89)/$B$91</f>
        <v/>
      </c>
      <c r="F107" s="45">
        <f>((((($B$63*(1+$A107)*F$106*(1-$B$20)) + ($B$63*(1+$A107)*$C$55) - ($B$63*(1+$A107)*$C$56) - ($B$63*(1+$A107)-$B$63)*$C$57)/(1+$B$59)^0.5) + ($D$77*((1+$A107)/(1+$C$53))*(F$106/$C$54)/(1+$B$59)^1.5) + ($E$77*((1+$A107)/(1+$C$53))*(F$106/$C$54)/(1+$B$59)^2.5) + ($F$77*((1+$A107)/(1+$C$53))*(F$106/$C$54)/(1+$B$59)^3.5) + ($G$77*((1+$A107)/(1+$C$53))*(F$106/$C$54)/(1+$B$59)^4.5)) + (($G$77*((1+$A107)/(1+$C$53))*(F$106/$C$54)*(1+$B$58)/($B$59-$B$58))/(1+$B$59)^4.5) - $B$89)/$B$91</f>
        <v/>
      </c>
    </row>
    <row r="108">
      <c r="A108" s="48" t="n">
        <v>0.065</v>
      </c>
      <c r="B108" s="45">
        <f>((((($B$63*(1+$A108)*B$106*(1-$B$20)) + ($B$63*(1+$A108)*$C$55) - ($B$63*(1+$A108)*$C$56) - ($B$63*(1+$A108)-$B$63)*$C$57)/(1+$B$59)^0.5) + ($D$77*((1+$A108)/(1+$C$53))*(B$106/$C$54)/(1+$B$59)^1.5) + ($E$77*((1+$A108)/(1+$C$53))*(B$106/$C$54)/(1+$B$59)^2.5) + ($F$77*((1+$A108)/(1+$C$53))*(B$106/$C$54)/(1+$B$59)^3.5) + ($G$77*((1+$A108)/(1+$C$53))*(B$106/$C$54)/(1+$B$59)^4.5)) + (($G$77*((1+$A108)/(1+$C$53))*(B$106/$C$54)*(1+$B$58)/($B$59-$B$58))/(1+$B$59)^4.5) - $B$89)/$B$91</f>
        <v/>
      </c>
      <c r="C108" s="45">
        <f>((((($B$63*(1+$A108)*C$106*(1-$B$20)) + ($B$63*(1+$A108)*$C$55) - ($B$63*(1+$A108)*$C$56) - ($B$63*(1+$A108)-$B$63)*$C$57)/(1+$B$59)^0.5) + ($D$77*((1+$A108)/(1+$C$53))*(C$106/$C$54)/(1+$B$59)^1.5) + ($E$77*((1+$A108)/(1+$C$53))*(C$106/$C$54)/(1+$B$59)^2.5) + ($F$77*((1+$A108)/(1+$C$53))*(C$106/$C$54)/(1+$B$59)^3.5) + ($G$77*((1+$A108)/(1+$C$53))*(C$106/$C$54)/(1+$B$59)^4.5)) + (($G$77*((1+$A108)/(1+$C$53))*(C$106/$C$54)*(1+$B$58)/($B$59-$B$58))/(1+$B$59)^4.5) - $B$89)/$B$91</f>
        <v/>
      </c>
      <c r="D108" s="45">
        <f>((((($B$63*(1+$A108)*D$106*(1-$B$20)) + ($B$63*(1+$A108)*$C$55) - ($B$63*(1+$A108)*$C$56) - ($B$63*(1+$A108)-$B$63)*$C$57)/(1+$B$59)^0.5) + ($D$77*((1+$A108)/(1+$C$53))*(D$106/$C$54)/(1+$B$59)^1.5) + ($E$77*((1+$A108)/(1+$C$53))*(D$106/$C$54)/(1+$B$59)^2.5) + ($F$77*((1+$A108)/(1+$C$53))*(D$106/$C$54)/(1+$B$59)^3.5) + ($G$77*((1+$A108)/(1+$C$53))*(D$106/$C$54)/(1+$B$59)^4.5)) + (($G$77*((1+$A108)/(1+$C$53))*(D$106/$C$54)*(1+$B$58)/($B$59-$B$58))/(1+$B$59)^4.5) - $B$89)/$B$91</f>
        <v/>
      </c>
      <c r="E108" s="45">
        <f>((((($B$63*(1+$A108)*E$106*(1-$B$20)) + ($B$63*(1+$A108)*$C$55) - ($B$63*(1+$A108)*$C$56) - ($B$63*(1+$A108)-$B$63)*$C$57)/(1+$B$59)^0.5) + ($D$77*((1+$A108)/(1+$C$53))*(E$106/$C$54)/(1+$B$59)^1.5) + ($E$77*((1+$A108)/(1+$C$53))*(E$106/$C$54)/(1+$B$59)^2.5) + ($F$77*((1+$A108)/(1+$C$53))*(E$106/$C$54)/(1+$B$59)^3.5) + ($G$77*((1+$A108)/(1+$C$53))*(E$106/$C$54)/(1+$B$59)^4.5)) + (($G$77*((1+$A108)/(1+$C$53))*(E$106/$C$54)*(1+$B$58)/($B$59-$B$58))/(1+$B$59)^4.5) - $B$89)/$B$91</f>
        <v/>
      </c>
      <c r="F108" s="45">
        <f>((((($B$63*(1+$A108)*F$106*(1-$B$20)) + ($B$63*(1+$A108)*$C$55) - ($B$63*(1+$A108)*$C$56) - ($B$63*(1+$A108)-$B$63)*$C$57)/(1+$B$59)^0.5) + ($D$77*((1+$A108)/(1+$C$53))*(F$106/$C$54)/(1+$B$59)^1.5) + ($E$77*((1+$A108)/(1+$C$53))*(F$106/$C$54)/(1+$B$59)^2.5) + ($F$77*((1+$A108)/(1+$C$53))*(F$106/$C$54)/(1+$B$59)^3.5) + ($G$77*((1+$A108)/(1+$C$53))*(F$106/$C$54)/(1+$B$59)^4.5)) + (($G$77*((1+$A108)/(1+$C$53))*(F$106/$C$54)*(1+$B$58)/($B$59-$B$58))/(1+$B$59)^4.5) - $B$89)/$B$91</f>
        <v/>
      </c>
    </row>
    <row r="109">
      <c r="A109" s="49" t="n">
        <v>0.075</v>
      </c>
      <c r="B109" s="45">
        <f>((((($B$63*(1+$A109)*B$106*(1-$B$20)) + ($B$63*(1+$A109)*$C$55) - ($B$63*(1+$A109)*$C$56) - ($B$63*(1+$A109)-$B$63)*$C$57)/(1+$B$59)^0.5) + ($D$77*((1+$A109)/(1+$C$53))*(B$106/$C$54)/(1+$B$59)^1.5) + ($E$77*((1+$A109)/(1+$C$53))*(B$106/$C$54)/(1+$B$59)^2.5) + ($F$77*((1+$A109)/(1+$C$53))*(B$106/$C$54)/(1+$B$59)^3.5) + ($G$77*((1+$A109)/(1+$C$53))*(B$106/$C$54)/(1+$B$59)^4.5)) + (($G$77*((1+$A109)/(1+$C$53))*(B$106/$C$54)*(1+$B$58)/($B$59-$B$58))/(1+$B$59)^4.5) - $B$89)/$B$91</f>
        <v/>
      </c>
      <c r="C109" s="45">
        <f>((((($B$63*(1+$A109)*C$106*(1-$B$20)) + ($B$63*(1+$A109)*$C$55) - ($B$63*(1+$A109)*$C$56) - ($B$63*(1+$A109)-$B$63)*$C$57)/(1+$B$59)^0.5) + ($D$77*((1+$A109)/(1+$C$53))*(C$106/$C$54)/(1+$B$59)^1.5) + ($E$77*((1+$A109)/(1+$C$53))*(C$106/$C$54)/(1+$B$59)^2.5) + ($F$77*((1+$A109)/(1+$C$53))*(C$106/$C$54)/(1+$B$59)^3.5) + ($G$77*((1+$A109)/(1+$C$53))*(C$106/$C$54)/(1+$B$59)^4.5)) + (($G$77*((1+$A109)/(1+$C$53))*(C$106/$C$54)*(1+$B$58)/($B$59-$B$58))/(1+$B$59)^4.5) - $B$89)/$B$91</f>
        <v/>
      </c>
      <c r="D109" s="47">
        <f>((((($B$63*(1+$A109)*D$106*(1-$B$20)) + ($B$63*(1+$A109)*$C$55) - ($B$63*(1+$A109)*$C$56) - ($B$63*(1+$A109)-$B$63)*$C$57)/(1+$B$59)^0.5) + ($D$77*((1+$A109)/(1+$C$53))*(D$106/$C$54)/(1+$B$59)^1.5) + ($E$77*((1+$A109)/(1+$C$53))*(D$106/$C$54)/(1+$B$59)^2.5) + ($F$77*((1+$A109)/(1+$C$53))*(D$106/$C$54)/(1+$B$59)^3.5) + ($G$77*((1+$A109)/(1+$C$53))*(D$106/$C$54)/(1+$B$59)^4.5)) + (($G$77*((1+$A109)/(1+$C$53))*(D$106/$C$54)*(1+$B$58)/($B$59-$B$58))/(1+$B$59)^4.5) - $B$89)/$B$91</f>
        <v/>
      </c>
      <c r="E109" s="45">
        <f>((((($B$63*(1+$A109)*E$106*(1-$B$20)) + ($B$63*(1+$A109)*$C$55) - ($B$63*(1+$A109)*$C$56) - ($B$63*(1+$A109)-$B$63)*$C$57)/(1+$B$59)^0.5) + ($D$77*((1+$A109)/(1+$C$53))*(E$106/$C$54)/(1+$B$59)^1.5) + ($E$77*((1+$A109)/(1+$C$53))*(E$106/$C$54)/(1+$B$59)^2.5) + ($F$77*((1+$A109)/(1+$C$53))*(E$106/$C$54)/(1+$B$59)^3.5) + ($G$77*((1+$A109)/(1+$C$53))*(E$106/$C$54)/(1+$B$59)^4.5)) + (($G$77*((1+$A109)/(1+$C$53))*(E$106/$C$54)*(1+$B$58)/($B$59-$B$58))/(1+$B$59)^4.5) - $B$89)/$B$91</f>
        <v/>
      </c>
      <c r="F109" s="45">
        <f>((((($B$63*(1+$A109)*F$106*(1-$B$20)) + ($B$63*(1+$A109)*$C$55) - ($B$63*(1+$A109)*$C$56) - ($B$63*(1+$A109)-$B$63)*$C$57)/(1+$B$59)^0.5) + ($D$77*((1+$A109)/(1+$C$53))*(F$106/$C$54)/(1+$B$59)^1.5) + ($E$77*((1+$A109)/(1+$C$53))*(F$106/$C$54)/(1+$B$59)^2.5) + ($F$77*((1+$A109)/(1+$C$53))*(F$106/$C$54)/(1+$B$59)^3.5) + ($G$77*((1+$A109)/(1+$C$53))*(F$106/$C$54)/(1+$B$59)^4.5)) + (($G$77*((1+$A109)/(1+$C$53))*(F$106/$C$54)*(1+$B$58)/($B$59-$B$58))/(1+$B$59)^4.5) - $B$89)/$B$91</f>
        <v/>
      </c>
    </row>
    <row r="110">
      <c r="A110" s="48" t="n">
        <v>0.08500000000000001</v>
      </c>
      <c r="B110" s="45">
        <f>((((($B$63*(1+$A110)*B$106*(1-$B$20)) + ($B$63*(1+$A110)*$C$55) - ($B$63*(1+$A110)*$C$56) - ($B$63*(1+$A110)-$B$63)*$C$57)/(1+$B$59)^0.5) + ($D$77*((1+$A110)/(1+$C$53))*(B$106/$C$54)/(1+$B$59)^1.5) + ($E$77*((1+$A110)/(1+$C$53))*(B$106/$C$54)/(1+$B$59)^2.5) + ($F$77*((1+$A110)/(1+$C$53))*(B$106/$C$54)/(1+$B$59)^3.5) + ($G$77*((1+$A110)/(1+$C$53))*(B$106/$C$54)/(1+$B$59)^4.5)) + (($G$77*((1+$A110)/(1+$C$53))*(B$106/$C$54)*(1+$B$58)/($B$59-$B$58))/(1+$B$59)^4.5) - $B$89)/$B$91</f>
        <v/>
      </c>
      <c r="C110" s="45">
        <f>((((($B$63*(1+$A110)*C$106*(1-$B$20)) + ($B$63*(1+$A110)*$C$55) - ($B$63*(1+$A110)*$C$56) - ($B$63*(1+$A110)-$B$63)*$C$57)/(1+$B$59)^0.5) + ($D$77*((1+$A110)/(1+$C$53))*(C$106/$C$54)/(1+$B$59)^1.5) + ($E$77*((1+$A110)/(1+$C$53))*(C$106/$C$54)/(1+$B$59)^2.5) + ($F$77*((1+$A110)/(1+$C$53))*(C$106/$C$54)/(1+$B$59)^3.5) + ($G$77*((1+$A110)/(1+$C$53))*(C$106/$C$54)/(1+$B$59)^4.5)) + (($G$77*((1+$A110)/(1+$C$53))*(C$106/$C$54)*(1+$B$58)/($B$59-$B$58))/(1+$B$59)^4.5) - $B$89)/$B$91</f>
        <v/>
      </c>
      <c r="D110" s="45">
        <f>((((($B$63*(1+$A110)*D$106*(1-$B$20)) + ($B$63*(1+$A110)*$C$55) - ($B$63*(1+$A110)*$C$56) - ($B$63*(1+$A110)-$B$63)*$C$57)/(1+$B$59)^0.5) + ($D$77*((1+$A110)/(1+$C$53))*(D$106/$C$54)/(1+$B$59)^1.5) + ($E$77*((1+$A110)/(1+$C$53))*(D$106/$C$54)/(1+$B$59)^2.5) + ($F$77*((1+$A110)/(1+$C$53))*(D$106/$C$54)/(1+$B$59)^3.5) + ($G$77*((1+$A110)/(1+$C$53))*(D$106/$C$54)/(1+$B$59)^4.5)) + (($G$77*((1+$A110)/(1+$C$53))*(D$106/$C$54)*(1+$B$58)/($B$59-$B$58))/(1+$B$59)^4.5) - $B$89)/$B$91</f>
        <v/>
      </c>
      <c r="E110" s="45">
        <f>((((($B$63*(1+$A110)*E$106*(1-$B$20)) + ($B$63*(1+$A110)*$C$55) - ($B$63*(1+$A110)*$C$56) - ($B$63*(1+$A110)-$B$63)*$C$57)/(1+$B$59)^0.5) + ($D$77*((1+$A110)/(1+$C$53))*(E$106/$C$54)/(1+$B$59)^1.5) + ($E$77*((1+$A110)/(1+$C$53))*(E$106/$C$54)/(1+$B$59)^2.5) + ($F$77*((1+$A110)/(1+$C$53))*(E$106/$C$54)/(1+$B$59)^3.5) + ($G$77*((1+$A110)/(1+$C$53))*(E$106/$C$54)/(1+$B$59)^4.5)) + (($G$77*((1+$A110)/(1+$C$53))*(E$106/$C$54)*(1+$B$58)/($B$59-$B$58))/(1+$B$59)^4.5) - $B$89)/$B$91</f>
        <v/>
      </c>
      <c r="F110" s="45">
        <f>((((($B$63*(1+$A110)*F$106*(1-$B$20)) + ($B$63*(1+$A110)*$C$55) - ($B$63*(1+$A110)*$C$56) - ($B$63*(1+$A110)-$B$63)*$C$57)/(1+$B$59)^0.5) + ($D$77*((1+$A110)/(1+$C$53))*(F$106/$C$54)/(1+$B$59)^1.5) + ($E$77*((1+$A110)/(1+$C$53))*(F$106/$C$54)/(1+$B$59)^2.5) + ($F$77*((1+$A110)/(1+$C$53))*(F$106/$C$54)/(1+$B$59)^3.5) + ($G$77*((1+$A110)/(1+$C$53))*(F$106/$C$54)/(1+$B$59)^4.5)) + (($G$77*((1+$A110)/(1+$C$53))*(F$106/$C$54)*(1+$B$58)/($B$59-$B$58))/(1+$B$59)^4.5) - $B$89)/$B$91</f>
        <v/>
      </c>
    </row>
    <row r="111">
      <c r="A111" s="48" t="n">
        <v>0.095</v>
      </c>
      <c r="B111" s="45">
        <f>((((($B$63*(1+$A111)*B$106*(1-$B$20)) + ($B$63*(1+$A111)*$C$55) - ($B$63*(1+$A111)*$C$56) - ($B$63*(1+$A111)-$B$63)*$C$57)/(1+$B$59)^0.5) + ($D$77*((1+$A111)/(1+$C$53))*(B$106/$C$54)/(1+$B$59)^1.5) + ($E$77*((1+$A111)/(1+$C$53))*(B$106/$C$54)/(1+$B$59)^2.5) + ($F$77*((1+$A111)/(1+$C$53))*(B$106/$C$54)/(1+$B$59)^3.5) + ($G$77*((1+$A111)/(1+$C$53))*(B$106/$C$54)/(1+$B$59)^4.5)) + (($G$77*((1+$A111)/(1+$C$53))*(B$106/$C$54)*(1+$B$58)/($B$59-$B$58))/(1+$B$59)^4.5) - $B$89)/$B$91</f>
        <v/>
      </c>
      <c r="C111" s="45">
        <f>((((($B$63*(1+$A111)*C$106*(1-$B$20)) + ($B$63*(1+$A111)*$C$55) - ($B$63*(1+$A111)*$C$56) - ($B$63*(1+$A111)-$B$63)*$C$57)/(1+$B$59)^0.5) + ($D$77*((1+$A111)/(1+$C$53))*(C$106/$C$54)/(1+$B$59)^1.5) + ($E$77*((1+$A111)/(1+$C$53))*(C$106/$C$54)/(1+$B$59)^2.5) + ($F$77*((1+$A111)/(1+$C$53))*(C$106/$C$54)/(1+$B$59)^3.5) + ($G$77*((1+$A111)/(1+$C$53))*(C$106/$C$54)/(1+$B$59)^4.5)) + (($G$77*((1+$A111)/(1+$C$53))*(C$106/$C$54)*(1+$B$58)/($B$59-$B$58))/(1+$B$59)^4.5) - $B$89)/$B$91</f>
        <v/>
      </c>
      <c r="D111" s="45">
        <f>((((($B$63*(1+$A111)*D$106*(1-$B$20)) + ($B$63*(1+$A111)*$C$55) - ($B$63*(1+$A111)*$C$56) - ($B$63*(1+$A111)-$B$63)*$C$57)/(1+$B$59)^0.5) + ($D$77*((1+$A111)/(1+$C$53))*(D$106/$C$54)/(1+$B$59)^1.5) + ($E$77*((1+$A111)/(1+$C$53))*(D$106/$C$54)/(1+$B$59)^2.5) + ($F$77*((1+$A111)/(1+$C$53))*(D$106/$C$54)/(1+$B$59)^3.5) + ($G$77*((1+$A111)/(1+$C$53))*(D$106/$C$54)/(1+$B$59)^4.5)) + (($G$77*((1+$A111)/(1+$C$53))*(D$106/$C$54)*(1+$B$58)/($B$59-$B$58))/(1+$B$59)^4.5) - $B$89)/$B$91</f>
        <v/>
      </c>
      <c r="E111" s="45">
        <f>((((($B$63*(1+$A111)*E$106*(1-$B$20)) + ($B$63*(1+$A111)*$C$55) - ($B$63*(1+$A111)*$C$56) - ($B$63*(1+$A111)-$B$63)*$C$57)/(1+$B$59)^0.5) + ($D$77*((1+$A111)/(1+$C$53))*(E$106/$C$54)/(1+$B$59)^1.5) + ($E$77*((1+$A111)/(1+$C$53))*(E$106/$C$54)/(1+$B$59)^2.5) + ($F$77*((1+$A111)/(1+$C$53))*(E$106/$C$54)/(1+$B$59)^3.5) + ($G$77*((1+$A111)/(1+$C$53))*(E$106/$C$54)/(1+$B$59)^4.5)) + (($G$77*((1+$A111)/(1+$C$53))*(E$106/$C$54)*(1+$B$58)/($B$59-$B$58))/(1+$B$59)^4.5) - $B$89)/$B$91</f>
        <v/>
      </c>
      <c r="F111" s="45">
        <f>((((($B$63*(1+$A111)*F$106*(1-$B$20)) + ($B$63*(1+$A111)*$C$55) - ($B$63*(1+$A111)*$C$56) - ($B$63*(1+$A111)-$B$63)*$C$57)/(1+$B$59)^0.5) + ($D$77*((1+$A111)/(1+$C$53))*(F$106/$C$54)/(1+$B$59)^1.5) + ($E$77*((1+$A111)/(1+$C$53))*(F$106/$C$54)/(1+$B$59)^2.5) + ($F$77*((1+$A111)/(1+$C$53))*(F$106/$C$54)/(1+$B$59)^3.5) + ($G$77*((1+$A111)/(1+$C$53))*(F$106/$C$54)/(1+$B$59)^4.5)) + (($G$77*((1+$A111)/(1+$C$53))*(F$106/$C$54)*(1+$B$58)/($B$59-$B$58))/(1+$B$59)^4.5) - $B$89)/$B$91</f>
        <v/>
      </c>
    </row>
    <row r="113">
      <c r="A113" s="41" t="inlineStr">
        <is>
          <t>Sensitivity Table 3: Implied Share Price ($) vs. Beta &amp; 10-Year Treasury Yield (Risk-Free Rate)</t>
        </is>
      </c>
    </row>
    <row r="114">
      <c r="A114" s="20" t="inlineStr">
        <is>
          <t>Beta \ Risk-Free Rate</t>
        </is>
      </c>
      <c r="B114" s="50" t="n">
        <v>0.042</v>
      </c>
      <c r="C114" s="50" t="n">
        <v>0.0445</v>
      </c>
      <c r="D114" s="51" t="n">
        <v>0.047</v>
      </c>
      <c r="E114" s="50" t="n">
        <v>0.0495</v>
      </c>
      <c r="F114" s="50" t="n">
        <v>0.052</v>
      </c>
    </row>
    <row r="115">
      <c r="A115" s="52" t="n">
        <v>0.55</v>
      </c>
      <c r="B115" s="45">
        <f>(($C$77/(1+($B$22*(B$114 + $A115*$B$17) + $B$23*$B$21))^0.5 + $D$77/(1+($B$22*(B$114 + $A115*$B$17) + $B$23*$B$21))^1.5 + $E$77/(1+($B$22*(B$114 + $A115*$B$17) + $B$23*$B$21))^2.5 + $F$77/(1+($B$22*(B$114 + $A115*$B$17) + $B$23*$B$21))^3.5 + $G$77/(1+($B$22*(B$114 + $A115*$B$17) + $B$23*$B$21))^4.5 + ($G$77*(1+$B$58)/(($B$22*(B$114 + $A115*$B$17) + $B$23*$B$21)-$B$58))/(1+($B$22*(B$114 + $A115*$B$17) + $B$23*$B$21))^4.5) - $B$89)/$B$91</f>
        <v/>
      </c>
      <c r="C115" s="45">
        <f>(($C$77/(1+($B$22*(C$114 + $A115*$B$17) + $B$23*$B$21))^0.5 + $D$77/(1+($B$22*(C$114 + $A115*$B$17) + $B$23*$B$21))^1.5 + $E$77/(1+($B$22*(C$114 + $A115*$B$17) + $B$23*$B$21))^2.5 + $F$77/(1+($B$22*(C$114 + $A115*$B$17) + $B$23*$B$21))^3.5 + $G$77/(1+($B$22*(C$114 + $A115*$B$17) + $B$23*$B$21))^4.5 + ($G$77*(1+$B$58)/(($B$22*(C$114 + $A115*$B$17) + $B$23*$B$21)-$B$58))/(1+($B$22*(C$114 + $A115*$B$17) + $B$23*$B$21))^4.5) - $B$89)/$B$91</f>
        <v/>
      </c>
      <c r="D115" s="45">
        <f>(($C$77/(1+($B$22*(D$114 + $A115*$B$17) + $B$23*$B$21))^0.5 + $D$77/(1+($B$22*(D$114 + $A115*$B$17) + $B$23*$B$21))^1.5 + $E$77/(1+($B$22*(D$114 + $A115*$B$17) + $B$23*$B$21))^2.5 + $F$77/(1+($B$22*(D$114 + $A115*$B$17) + $B$23*$B$21))^3.5 + $G$77/(1+($B$22*(D$114 + $A115*$B$17) + $B$23*$B$21))^4.5 + ($G$77*(1+$B$58)/(($B$22*(D$114 + $A115*$B$17) + $B$23*$B$21)-$B$58))/(1+($B$22*(D$114 + $A115*$B$17) + $B$23*$B$21))^4.5) - $B$89)/$B$91</f>
        <v/>
      </c>
      <c r="E115" s="45">
        <f>(($C$77/(1+($B$22*(E$114 + $A115*$B$17) + $B$23*$B$21))^0.5 + $D$77/(1+($B$22*(E$114 + $A115*$B$17) + $B$23*$B$21))^1.5 + $E$77/(1+($B$22*(E$114 + $A115*$B$17) + $B$23*$B$21))^2.5 + $F$77/(1+($B$22*(E$114 + $A115*$B$17) + $B$23*$B$21))^3.5 + $G$77/(1+($B$22*(E$114 + $A115*$B$17) + $B$23*$B$21))^4.5 + ($G$77*(1+$B$58)/(($B$22*(E$114 + $A115*$B$17) + $B$23*$B$21)-$B$58))/(1+($B$22*(E$114 + $A115*$B$17) + $B$23*$B$21))^4.5) - $B$89)/$B$91</f>
        <v/>
      </c>
      <c r="F115" s="45">
        <f>(($C$77/(1+($B$22*(F$114 + $A115*$B$17) + $B$23*$B$21))^0.5 + $D$77/(1+($B$22*(F$114 + $A115*$B$17) + $B$23*$B$21))^1.5 + $E$77/(1+($B$22*(F$114 + $A115*$B$17) + $B$23*$B$21))^2.5 + $F$77/(1+($B$22*(F$114 + $A115*$B$17) + $B$23*$B$21))^3.5 + $G$77/(1+($B$22*(F$114 + $A115*$B$17) + $B$23*$B$21))^4.5 + ($G$77*(1+$B$58)/(($B$22*(F$114 + $A115*$B$17) + $B$23*$B$21)-$B$58))/(1+($B$22*(F$114 + $A115*$B$17) + $B$23*$B$21))^4.5) - $B$89)/$B$91</f>
        <v/>
      </c>
    </row>
    <row r="116">
      <c r="A116" s="52" t="n">
        <v>0.6</v>
      </c>
      <c r="B116" s="45">
        <f>(($C$77/(1+($B$22*(B$114 + $A116*$B$17) + $B$23*$B$21))^0.5 + $D$77/(1+($B$22*(B$114 + $A116*$B$17) + $B$23*$B$21))^1.5 + $E$77/(1+($B$22*(B$114 + $A116*$B$17) + $B$23*$B$21))^2.5 + $F$77/(1+($B$22*(B$114 + $A116*$B$17) + $B$23*$B$21))^3.5 + $G$77/(1+($B$22*(B$114 + $A116*$B$17) + $B$23*$B$21))^4.5 + ($G$77*(1+$B$58)/(($B$22*(B$114 + $A116*$B$17) + $B$23*$B$21)-$B$58))/(1+($B$22*(B$114 + $A116*$B$17) + $B$23*$B$21))^4.5) - $B$89)/$B$91</f>
        <v/>
      </c>
      <c r="C116" s="45">
        <f>(($C$77/(1+($B$22*(C$114 + $A116*$B$17) + $B$23*$B$21))^0.5 + $D$77/(1+($B$22*(C$114 + $A116*$B$17) + $B$23*$B$21))^1.5 + $E$77/(1+($B$22*(C$114 + $A116*$B$17) + $B$23*$B$21))^2.5 + $F$77/(1+($B$22*(C$114 + $A116*$B$17) + $B$23*$B$21))^3.5 + $G$77/(1+($B$22*(C$114 + $A116*$B$17) + $B$23*$B$21))^4.5 + ($G$77*(1+$B$58)/(($B$22*(C$114 + $A116*$B$17) + $B$23*$B$21)-$B$58))/(1+($B$22*(C$114 + $A116*$B$17) + $B$23*$B$21))^4.5) - $B$89)/$B$91</f>
        <v/>
      </c>
      <c r="D116" s="45">
        <f>(($C$77/(1+($B$22*(D$114 + $A116*$B$17) + $B$23*$B$21))^0.5 + $D$77/(1+($B$22*(D$114 + $A116*$B$17) + $B$23*$B$21))^1.5 + $E$77/(1+($B$22*(D$114 + $A116*$B$17) + $B$23*$B$21))^2.5 + $F$77/(1+($B$22*(D$114 + $A116*$B$17) + $B$23*$B$21))^3.5 + $G$77/(1+($B$22*(D$114 + $A116*$B$17) + $B$23*$B$21))^4.5 + ($G$77*(1+$B$58)/(($B$22*(D$114 + $A116*$B$17) + $B$23*$B$21)-$B$58))/(1+($B$22*(D$114 + $A116*$B$17) + $B$23*$B$21))^4.5) - $B$89)/$B$91</f>
        <v/>
      </c>
      <c r="E116" s="45">
        <f>(($C$77/(1+($B$22*(E$114 + $A116*$B$17) + $B$23*$B$21))^0.5 + $D$77/(1+($B$22*(E$114 + $A116*$B$17) + $B$23*$B$21))^1.5 + $E$77/(1+($B$22*(E$114 + $A116*$B$17) + $B$23*$B$21))^2.5 + $F$77/(1+($B$22*(E$114 + $A116*$B$17) + $B$23*$B$21))^3.5 + $G$77/(1+($B$22*(E$114 + $A116*$B$17) + $B$23*$B$21))^4.5 + ($G$77*(1+$B$58)/(($B$22*(E$114 + $A116*$B$17) + $B$23*$B$21)-$B$58))/(1+($B$22*(E$114 + $A116*$B$17) + $B$23*$B$21))^4.5) - $B$89)/$B$91</f>
        <v/>
      </c>
      <c r="F116" s="45">
        <f>(($C$77/(1+($B$22*(F$114 + $A116*$B$17) + $B$23*$B$21))^0.5 + $D$77/(1+($B$22*(F$114 + $A116*$B$17) + $B$23*$B$21))^1.5 + $E$77/(1+($B$22*(F$114 + $A116*$B$17) + $B$23*$B$21))^2.5 + $F$77/(1+($B$22*(F$114 + $A116*$B$17) + $B$23*$B$21))^3.5 + $G$77/(1+($B$22*(F$114 + $A116*$B$17) + $B$23*$B$21))^4.5 + ($G$77*(1+$B$58)/(($B$22*(F$114 + $A116*$B$17) + $B$23*$B$21)-$B$58))/(1+($B$22*(F$114 + $A116*$B$17) + $B$23*$B$21))^4.5) - $B$89)/$B$91</f>
        <v/>
      </c>
    </row>
    <row r="117">
      <c r="A117" s="53" t="n">
        <v>0.65</v>
      </c>
      <c r="B117" s="45">
        <f>(($C$77/(1+($B$22*(B$114 + $A117*$B$17) + $B$23*$B$21))^0.5 + $D$77/(1+($B$22*(B$114 + $A117*$B$17) + $B$23*$B$21))^1.5 + $E$77/(1+($B$22*(B$114 + $A117*$B$17) + $B$23*$B$21))^2.5 + $F$77/(1+($B$22*(B$114 + $A117*$B$17) + $B$23*$B$21))^3.5 + $G$77/(1+($B$22*(B$114 + $A117*$B$17) + $B$23*$B$21))^4.5 + ($G$77*(1+$B$58)/(($B$22*(B$114 + $A117*$B$17) + $B$23*$B$21)-$B$58))/(1+($B$22*(B$114 + $A117*$B$17) + $B$23*$B$21))^4.5) - $B$89)/$B$91</f>
        <v/>
      </c>
      <c r="C117" s="45">
        <f>(($C$77/(1+($B$22*(C$114 + $A117*$B$17) + $B$23*$B$21))^0.5 + $D$77/(1+($B$22*(C$114 + $A117*$B$17) + $B$23*$B$21))^1.5 + $E$77/(1+($B$22*(C$114 + $A117*$B$17) + $B$23*$B$21))^2.5 + $F$77/(1+($B$22*(C$114 + $A117*$B$17) + $B$23*$B$21))^3.5 + $G$77/(1+($B$22*(C$114 + $A117*$B$17) + $B$23*$B$21))^4.5 + ($G$77*(1+$B$58)/(($B$22*(C$114 + $A117*$B$17) + $B$23*$B$21)-$B$58))/(1+($B$22*(C$114 + $A117*$B$17) + $B$23*$B$21))^4.5) - $B$89)/$B$91</f>
        <v/>
      </c>
      <c r="D117" s="47">
        <f>(($C$77/(1+($B$22*(D$114 + $A117*$B$17) + $B$23*$B$21))^0.5 + $D$77/(1+($B$22*(D$114 + $A117*$B$17) + $B$23*$B$21))^1.5 + $E$77/(1+($B$22*(D$114 + $A117*$B$17) + $B$23*$B$21))^2.5 + $F$77/(1+($B$22*(D$114 + $A117*$B$17) + $B$23*$B$21))^3.5 + $G$77/(1+($B$22*(D$114 + $A117*$B$17) + $B$23*$B$21))^4.5 + ($G$77*(1+$B$58)/(($B$22*(D$114 + $A117*$B$17) + $B$23*$B$21)-$B$58))/(1+($B$22*(D$114 + $A117*$B$17) + $B$23*$B$21))^4.5) - $B$89)/$B$91</f>
        <v/>
      </c>
      <c r="E117" s="45">
        <f>(($C$77/(1+($B$22*(E$114 + $A117*$B$17) + $B$23*$B$21))^0.5 + $D$77/(1+($B$22*(E$114 + $A117*$B$17) + $B$23*$B$21))^1.5 + $E$77/(1+($B$22*(E$114 + $A117*$B$17) + $B$23*$B$21))^2.5 + $F$77/(1+($B$22*(E$114 + $A117*$B$17) + $B$23*$B$21))^3.5 + $G$77/(1+($B$22*(E$114 + $A117*$B$17) + $B$23*$B$21))^4.5 + ($G$77*(1+$B$58)/(($B$22*(E$114 + $A117*$B$17) + $B$23*$B$21)-$B$58))/(1+($B$22*(E$114 + $A117*$B$17) + $B$23*$B$21))^4.5) - $B$89)/$B$91</f>
        <v/>
      </c>
      <c r="F117" s="45">
        <f>(($C$77/(1+($B$22*(F$114 + $A117*$B$17) + $B$23*$B$21))^0.5 + $D$77/(1+($B$22*(F$114 + $A117*$B$17) + $B$23*$B$21))^1.5 + $E$77/(1+($B$22*(F$114 + $A117*$B$17) + $B$23*$B$21))^2.5 + $F$77/(1+($B$22*(F$114 + $A117*$B$17) + $B$23*$B$21))^3.5 + $G$77/(1+($B$22*(F$114 + $A117*$B$17) + $B$23*$B$21))^4.5 + ($G$77*(1+$B$58)/(($B$22*(F$114 + $A117*$B$17) + $B$23*$B$21)-$B$58))/(1+($B$22*(F$114 + $A117*$B$17) + $B$23*$B$21))^4.5) - $B$89)/$B$91</f>
        <v/>
      </c>
    </row>
    <row r="118">
      <c r="A118" s="52" t="n">
        <v>0.7</v>
      </c>
      <c r="B118" s="45">
        <f>(($C$77/(1+($B$22*(B$114 + $A118*$B$17) + $B$23*$B$21))^0.5 + $D$77/(1+($B$22*(B$114 + $A118*$B$17) + $B$23*$B$21))^1.5 + $E$77/(1+($B$22*(B$114 + $A118*$B$17) + $B$23*$B$21))^2.5 + $F$77/(1+($B$22*(B$114 + $A118*$B$17) + $B$23*$B$21))^3.5 + $G$77/(1+($B$22*(B$114 + $A118*$B$17) + $B$23*$B$21))^4.5 + ($G$77*(1+$B$58)/(($B$22*(B$114 + $A118*$B$17) + $B$23*$B$21)-$B$58))/(1+($B$22*(B$114 + $A118*$B$17) + $B$23*$B$21))^4.5) - $B$89)/$B$91</f>
        <v/>
      </c>
      <c r="C118" s="45">
        <f>(($C$77/(1+($B$22*(C$114 + $A118*$B$17) + $B$23*$B$21))^0.5 + $D$77/(1+($B$22*(C$114 + $A118*$B$17) + $B$23*$B$21))^1.5 + $E$77/(1+($B$22*(C$114 + $A118*$B$17) + $B$23*$B$21))^2.5 + $F$77/(1+($B$22*(C$114 + $A118*$B$17) + $B$23*$B$21))^3.5 + $G$77/(1+($B$22*(C$114 + $A118*$B$17) + $B$23*$B$21))^4.5 + ($G$77*(1+$B$58)/(($B$22*(C$114 + $A118*$B$17) + $B$23*$B$21)-$B$58))/(1+($B$22*(C$114 + $A118*$B$17) + $B$23*$B$21))^4.5) - $B$89)/$B$91</f>
        <v/>
      </c>
      <c r="D118" s="45">
        <f>(($C$77/(1+($B$22*(D$114 + $A118*$B$17) + $B$23*$B$21))^0.5 + $D$77/(1+($B$22*(D$114 + $A118*$B$17) + $B$23*$B$21))^1.5 + $E$77/(1+($B$22*(D$114 + $A118*$B$17) + $B$23*$B$21))^2.5 + $F$77/(1+($B$22*(D$114 + $A118*$B$17) + $B$23*$B$21))^3.5 + $G$77/(1+($B$22*(D$114 + $A118*$B$17) + $B$23*$B$21))^4.5 + ($G$77*(1+$B$58)/(($B$22*(D$114 + $A118*$B$17) + $B$23*$B$21)-$B$58))/(1+($B$22*(D$114 + $A118*$B$17) + $B$23*$B$21))^4.5) - $B$89)/$B$91</f>
        <v/>
      </c>
      <c r="E118" s="45">
        <f>(($C$77/(1+($B$22*(E$114 + $A118*$B$17) + $B$23*$B$21))^0.5 + $D$77/(1+($B$22*(E$114 + $A118*$B$17) + $B$23*$B$21))^1.5 + $E$77/(1+($B$22*(E$114 + $A118*$B$17) + $B$23*$B$21))^2.5 + $F$77/(1+($B$22*(E$114 + $A118*$B$17) + $B$23*$B$21))^3.5 + $G$77/(1+($B$22*(E$114 + $A118*$B$17) + $B$23*$B$21))^4.5 + ($G$77*(1+$B$58)/(($B$22*(E$114 + $A118*$B$17) + $B$23*$B$21)-$B$58))/(1+($B$22*(E$114 + $A118*$B$17) + $B$23*$B$21))^4.5) - $B$89)/$B$91</f>
        <v/>
      </c>
      <c r="F118" s="45">
        <f>(($C$77/(1+($B$22*(F$114 + $A118*$B$17) + $B$23*$B$21))^0.5 + $D$77/(1+($B$22*(F$114 + $A118*$B$17) + $B$23*$B$21))^1.5 + $E$77/(1+($B$22*(F$114 + $A118*$B$17) + $B$23*$B$21))^2.5 + $F$77/(1+($B$22*(F$114 + $A118*$B$17) + $B$23*$B$21))^3.5 + $G$77/(1+($B$22*(F$114 + $A118*$B$17) + $B$23*$B$21))^4.5 + ($G$77*(1+$B$58)/(($B$22*(F$114 + $A118*$B$17) + $B$23*$B$21)-$B$58))/(1+($B$22*(F$114 + $A118*$B$17) + $B$23*$B$21))^4.5) - $B$89)/$B$91</f>
        <v/>
      </c>
    </row>
    <row r="119">
      <c r="A119" s="52" t="n">
        <v>0.75</v>
      </c>
      <c r="B119" s="45">
        <f>(($C$77/(1+($B$22*(B$114 + $A119*$B$17) + $B$23*$B$21))^0.5 + $D$77/(1+($B$22*(B$114 + $A119*$B$17) + $B$23*$B$21))^1.5 + $E$77/(1+($B$22*(B$114 + $A119*$B$17) + $B$23*$B$21))^2.5 + $F$77/(1+($B$22*(B$114 + $A119*$B$17) + $B$23*$B$21))^3.5 + $G$77/(1+($B$22*(B$114 + $A119*$B$17) + $B$23*$B$21))^4.5 + ($G$77*(1+$B$58)/(($B$22*(B$114 + $A119*$B$17) + $B$23*$B$21)-$B$58))/(1+($B$22*(B$114 + $A119*$B$17) + $B$23*$B$21))^4.5) - $B$89)/$B$91</f>
        <v/>
      </c>
      <c r="C119" s="45">
        <f>(($C$77/(1+($B$22*(C$114 + $A119*$B$17) + $B$23*$B$21))^0.5 + $D$77/(1+($B$22*(C$114 + $A119*$B$17) + $B$23*$B$21))^1.5 + $E$77/(1+($B$22*(C$114 + $A119*$B$17) + $B$23*$B$21))^2.5 + $F$77/(1+($B$22*(C$114 + $A119*$B$17) + $B$23*$B$21))^3.5 + $G$77/(1+($B$22*(C$114 + $A119*$B$17) + $B$23*$B$21))^4.5 + ($G$77*(1+$B$58)/(($B$22*(C$114 + $A119*$B$17) + $B$23*$B$21)-$B$58))/(1+($B$22*(C$114 + $A119*$B$17) + $B$23*$B$21))^4.5) - $B$89)/$B$91</f>
        <v/>
      </c>
      <c r="D119" s="45">
        <f>(($C$77/(1+($B$22*(D$114 + $A119*$B$17) + $B$23*$B$21))^0.5 + $D$77/(1+($B$22*(D$114 + $A119*$B$17) + $B$23*$B$21))^1.5 + $E$77/(1+($B$22*(D$114 + $A119*$B$17) + $B$23*$B$21))^2.5 + $F$77/(1+($B$22*(D$114 + $A119*$B$17) + $B$23*$B$21))^3.5 + $G$77/(1+($B$22*(D$114 + $A119*$B$17) + $B$23*$B$21))^4.5 + ($G$77*(1+$B$58)/(($B$22*(D$114 + $A119*$B$17) + $B$23*$B$21)-$B$58))/(1+($B$22*(D$114 + $A119*$B$17) + $B$23*$B$21))^4.5) - $B$89)/$B$91</f>
        <v/>
      </c>
      <c r="E119" s="45">
        <f>(($C$77/(1+($B$22*(E$114 + $A119*$B$17) + $B$23*$B$21))^0.5 + $D$77/(1+($B$22*(E$114 + $A119*$B$17) + $B$23*$B$21))^1.5 + $E$77/(1+($B$22*(E$114 + $A119*$B$17) + $B$23*$B$21))^2.5 + $F$77/(1+($B$22*(E$114 + $A119*$B$17) + $B$23*$B$21))^3.5 + $G$77/(1+($B$22*(E$114 + $A119*$B$17) + $B$23*$B$21))^4.5 + ($G$77*(1+$B$58)/(($B$22*(E$114 + $A119*$B$17) + $B$23*$B$21)-$B$58))/(1+($B$22*(E$114 + $A119*$B$17) + $B$23*$B$21))^4.5) - $B$89)/$B$91</f>
        <v/>
      </c>
      <c r="F119" s="45">
        <f>(($C$77/(1+($B$22*(F$114 + $A119*$B$17) + $B$23*$B$21))^0.5 + $D$77/(1+($B$22*(F$114 + $A119*$B$17) + $B$23*$B$21))^1.5 + $E$77/(1+($B$22*(F$114 + $A119*$B$17) + $B$23*$B$21))^2.5 + $F$77/(1+($B$22*(F$114 + $A119*$B$17) + $B$23*$B$21))^3.5 + $G$77/(1+($B$22*(F$114 + $A119*$B$17) + $B$23*$B$21))^4.5 + ($G$77*(1+$B$58)/(($B$22*(F$114 + $A119*$B$17) + $B$23*$B$21)-$B$58))/(1+($B$22*(F$114 + $A119*$B$17) + $B$23*$B$21))^4.5) - $B$89)/$B$91</f>
        <v/>
      </c>
    </row>
  </sheetData>
  <mergeCells count="14">
    <mergeCell ref="A36:G36"/>
    <mergeCell ref="A44:G44"/>
    <mergeCell ref="A61:G61"/>
    <mergeCell ref="A97:G97"/>
    <mergeCell ref="A105:G105"/>
    <mergeCell ref="A4:G4"/>
    <mergeCell ref="A26:G26"/>
    <mergeCell ref="A96:G96"/>
    <mergeCell ref="A52:G52"/>
    <mergeCell ref="A7:G7"/>
    <mergeCell ref="A113:G113"/>
    <mergeCell ref="D5:G5"/>
    <mergeCell ref="A28:G28"/>
    <mergeCell ref="A75:G7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2026-08-17T09:38:03Z</dcterms:created>
  <dcterms:modified xmlns:dcterms="http://purl.org/dc/terms/" xmlns:xsi="http://www.w3.org/2001/XMLSchema-instance" xsi:type="dcterms:W3CDTF">2026-08-17T09:38:03Z</dcterms:modified>
</cp:coreProperties>
</file>