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0.0"/>
    <numFmt numFmtId="167" formatCode="0.0000"/>
    <numFmt numFmtId="168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i val="1"/>
      <color rgb="00595959"/>
      <sz val="9"/>
    </font>
    <font>
      <name val="Calibri"/>
      <b val="1"/>
      <color rgb="001F4E79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0" fillId="4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4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0" fillId="0" borderId="2" pivotButton="0" quotePrefix="0" xfId="0"/>
    <xf numFmtId="164" fontId="4" fillId="0" borderId="2" applyAlignment="1" pivotButton="0" quotePrefix="0" xfId="0">
      <alignment horizontal="center" vertical="center"/>
    </xf>
    <xf numFmtId="0" fontId="8" fillId="0" borderId="2" pivotButton="0" quotePrefix="0" xfId="0"/>
    <xf numFmtId="10" fontId="4" fillId="0" borderId="2" applyAlignment="1" pivotButton="0" quotePrefix="0" xfId="0">
      <alignment horizontal="center" vertical="center"/>
    </xf>
    <xf numFmtId="10" fontId="5" fillId="3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0" fontId="9" fillId="4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0" borderId="2" pivotButton="0" quotePrefix="0" xfId="0"/>
    <xf numFmtId="165" fontId="9" fillId="4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right" vertical="center"/>
    </xf>
    <xf numFmtId="0" fontId="9" fillId="4" borderId="2" pivotButton="0" quotePrefix="0" xfId="0"/>
    <xf numFmtId="4" fontId="4" fillId="0" borderId="2" applyAlignment="1" pivotButton="0" quotePrefix="0" xfId="0">
      <alignment horizontal="right" vertical="center"/>
    </xf>
    <xf numFmtId="164" fontId="9" fillId="4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right" vertical="center"/>
    </xf>
    <xf numFmtId="0" fontId="9" fillId="0" borderId="0" pivotButton="0" quotePrefix="0" xfId="0"/>
    <xf numFmtId="10" fontId="5" fillId="5" borderId="3" applyAlignment="1" pivotButton="0" quotePrefix="0" xfId="0">
      <alignment horizontal="center" vertical="center"/>
    </xf>
    <xf numFmtId="10" fontId="10" fillId="4" borderId="3" applyAlignment="1" pivotButton="0" quotePrefix="0" xfId="0">
      <alignment horizontal="center" vertical="center"/>
    </xf>
    <xf numFmtId="10" fontId="5" fillId="5" borderId="2" applyAlignment="1" pivotButton="0" quotePrefix="0" xfId="0">
      <alignment horizontal="center" vertical="center"/>
    </xf>
    <xf numFmtId="10" fontId="10" fillId="4" borderId="2" applyAlignment="1" pivotButton="0" quotePrefix="0" xfId="0">
      <alignment horizontal="center" vertical="center"/>
    </xf>
    <xf numFmtId="164" fontId="5" fillId="5" borderId="3" applyAlignment="1" pivotButton="0" quotePrefix="0" xfId="0">
      <alignment horizontal="center" vertical="center"/>
    </xf>
    <xf numFmtId="164" fontId="10" fillId="4" borderId="3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2" fontId="10" fillId="4" borderId="2" applyAlignment="1" pivotButton="0" quotePrefix="0" xfId="0">
      <alignment horizontal="center" vertical="center"/>
    </xf>
    <xf numFmtId="2" fontId="5" fillId="3" borderId="2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  <xf numFmtId="49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9" fillId="4" borderId="4" pivotButton="0" quotePrefix="0" xfId="0"/>
    <xf numFmtId="164" fontId="9" fillId="4" borderId="4" applyAlignment="1" pivotButton="0" quotePrefix="0" xfId="0">
      <alignment horizontal="right" vertical="center"/>
    </xf>
    <xf numFmtId="0" fontId="0" fillId="4" borderId="4" applyAlignment="1" pivotButton="0" quotePrefix="0" xfId="0">
      <alignment horizontal="center" vertical="center"/>
    </xf>
    <xf numFmtId="10" fontId="9" fillId="4" borderId="4" applyAlignment="1" pivotButton="0" quotePrefix="0" xfId="0">
      <alignment horizontal="right" vertical="center"/>
    </xf>
    <xf numFmtId="0" fontId="8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</authors>
  <commentList>
    <comment ref="B4" authorId="0" shapeId="0">
      <text>
        <t>Enter 1 for Bear Case, 2 for Base Case, 3 for Bull Case. All projections update dynamically.</t>
      </text>
    </comment>
    <comment ref="B8" authorId="0" shapeId="0">
      <text>
        <t>Source: NASDAQ closing price as of August 20, 2026</t>
      </text>
    </comment>
    <comment ref="B9" authorId="0" shapeId="0">
      <text>
        <t>Source: Form 10-Q / 10-K Diluted common shares outstanding</t>
      </text>
    </comment>
    <comment ref="B11" authorId="0" shapeId="0">
      <text>
        <t>Source: Form 10-Q / 10-K Balance Sheet total cash &amp; liquid marketable securities ($3.84B)</t>
      </text>
    </comment>
    <comment ref="B12" authorId="0" shapeId="0">
      <text>
        <t>Source: Form 10-Q / 10-K Balance Sheet total principal debt balance ($4.96B)</t>
      </text>
    </comment>
    <comment ref="B14" authorId="0" shapeId="0">
      <text>
        <t>Source: US statutory corporate tax rate benchmark (21.0%)</t>
      </text>
    </comment>
    <comment ref="B63" authorId="0" shapeId="0">
      <text>
        <t>Source: Form 10-K FY2024 Consolidated Statements of Operations ($5,508M)</t>
      </text>
    </comment>
    <comment ref="C63" authorId="0" shapeId="0">
      <text>
        <t>Source: Form 10-K FY2025 Consolidated Statements of Operations ($5,767M)</t>
      </text>
    </comment>
    <comment ref="D63" authorId="0" shapeId="0">
      <text>
        <t>Source: Form 10-K FY2026 Consolidated Statements of Operations ($8,195M)</t>
      </text>
    </comment>
    <comment ref="B64" authorId="0" shapeId="0">
      <text>
        <t>Source: Form 10-K FY2024 Revenue YoY Growth (-7.0%)</t>
      </text>
    </comment>
    <comment ref="B65" authorId="0" shapeId="0">
      <text>
        <t>Source: Form 10-K FY2024 Cost of Goods Sold</t>
      </text>
    </comment>
    <comment ref="C65" authorId="0" shapeId="0">
      <text>
        <t>Source: Form 10-K FY2025 Cost of Goods Sold</t>
      </text>
    </comment>
    <comment ref="D65" authorId="0" shapeId="0">
      <text>
        <t>Source: Form 10-K FY2026 Cost of Goods Sold</t>
      </text>
    </comment>
    <comment ref="B68" authorId="0" shapeId="0">
      <text>
        <t>Source: Form 10-K FY2024 R&amp;D Expense</t>
      </text>
    </comment>
    <comment ref="C68" authorId="0" shapeId="0">
      <text>
        <t>Source: Form 10-K FY2025 R&amp;D Expense</t>
      </text>
    </comment>
    <comment ref="D68" authorId="0" shapeId="0">
      <text>
        <t>Source: Form 10-K FY2026 R&amp;D Expense</t>
      </text>
    </comment>
    <comment ref="B69" authorId="0" shapeId="0">
      <text>
        <t>Source: Form 10-K FY2024 SG&amp;A Expense</t>
      </text>
    </comment>
    <comment ref="C69" authorId="0" shapeId="0">
      <text>
        <t>Source: Form 10-K FY2025 SG&amp;A Expense</t>
      </text>
    </comment>
    <comment ref="D69" authorId="0" shapeId="0">
      <text>
        <t>Source: Form 10-K FY2026 SG&amp;A Expense</t>
      </text>
    </comment>
    <comment ref="B73" authorId="0" shapeId="0">
      <text>
        <t>Source: Form 10-K FY2024 Income Tax Benefit/Provision</t>
      </text>
    </comment>
    <comment ref="C73" authorId="0" shapeId="0">
      <text>
        <t>Source: Form 10-K FY2025 Income Tax Benefit/Provision</t>
      </text>
    </comment>
    <comment ref="D73" authorId="0" shapeId="0">
      <text>
        <t>Source: Form 10-K FY2026 Effective Tax Provision on positive EBIT</t>
      </text>
    </comment>
    <comment ref="B80" authorId="0" shapeId="0">
      <text>
        <t>Source: Form 10-K FY2024 Cash Flow Statement D&amp;A</t>
      </text>
    </comment>
    <comment ref="C80" authorId="0" shapeId="0">
      <text>
        <t>Source: Form 10-K FY2025 Cash Flow Statement D&amp;A</t>
      </text>
    </comment>
    <comment ref="D80" authorId="0" shapeId="0">
      <text>
        <t>Source: Form 10-K FY2026 Cash Flow Statement D&amp;A</t>
      </text>
    </comment>
    <comment ref="B81" authorId="0" shapeId="0">
      <text>
        <t>Source: Form 10-K FY2024 Cash Flow Statement Purchases of Property &amp; Equipment</t>
      </text>
    </comment>
    <comment ref="C81" authorId="0" shapeId="0">
      <text>
        <t>Source: Form 10-K FY2025 Cash Flow Statement Purchases of Property &amp; Equipment</t>
      </text>
    </comment>
    <comment ref="D81" authorId="0" shapeId="0">
      <text>
        <t>Source: Form 10-K FY2026 Cash Flow Statement Purchases of Property &amp; Equipment</t>
      </text>
    </comment>
    <comment ref="B82" authorId="0" shapeId="0">
      <text>
        <t>Source: Form 10-K FY2024 Operating assets &amp; liabilities change</t>
      </text>
    </comment>
    <comment ref="C82" authorId="0" shapeId="0">
      <text>
        <t>Source: Form 10-K FY2025 Operating assets &amp; liabilities change</t>
      </text>
    </comment>
    <comment ref="D82" authorId="0" shapeId="0">
      <text>
        <t>Source: Form 10-K FY2026 Operating assets &amp; liabilities change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20, 2026</t>
      </text>
    </comment>
    <comment ref="B6" authorId="0" shapeId="0">
      <text>
        <t>Source: Market data 5-year monthly regression beta vs S&amp;P 500 (Reflects semiconductor/AI volatility)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Moody's / S&amp;P institutional investment grade credit rating profile</t>
      </text>
    </comment>
    <comment ref="B12" authorId="0" shapeId="0">
      <text>
        <t>Source: Form 10-K &amp; senior notes yield curve benchmark</t>
      </text>
    </comment>
    <comment ref="B13" authorId="0" shapeId="0">
      <text>
        <t>Source: US statutory corporate tax rate benchmark (21.0%)</t>
      </text>
    </comment>
    <comment ref="B18" authorId="0" shapeId="0">
      <text>
        <t>Source: Form 10-Q / 10-K Balance Sheet total carrying debt balance ($4.96B)</t>
      </text>
    </comment>
    <comment ref="B19" authorId="0" shapeId="0">
      <text>
        <t>Source: Form 10-Q / 10-K Balance Sheet total cash &amp; liquid marketable securities ($3.84B)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7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2" customWidth="1" min="9" max="9"/>
  </cols>
  <sheetData>
    <row r="1">
      <c r="A1" s="1" t="inlineStr">
        <is>
          <t>Marvell Technology, Inc. (NASDAQ: MRVL)</t>
        </is>
      </c>
    </row>
    <row r="2">
      <c r="A2" s="2" t="inlineStr">
        <is>
          <t>Institutional Discounted Cash Flow (DCF) Valuation Model | 5-Year Explicit Forecast (FY2027E - FY2031E)</t>
        </is>
      </c>
    </row>
    <row r="3"/>
    <row r="4">
      <c r="A4" s="3" t="inlineStr">
        <is>
          <t>Case Selector (1=Bear, 2=Base, 3=Bull):</t>
        </is>
      </c>
      <c r="B4" s="4" t="n">
        <v>2</v>
      </c>
    </row>
    <row r="5">
      <c r="A5" s="3" t="inlineStr">
        <is>
          <t>Active Scenario:</t>
        </is>
      </c>
      <c r="B5" s="5">
        <f>IF(B4=1,"Bear Case (Downside / Hyperscaler CapEx Pause)",IF(B4=2,"Base Case (Consensus / Custom ASIC &amp; Electro-Optics Ramp)","Bull Case (AI Supercycle &amp; Multi-Hyperscaler Custom Wins)"))</f>
        <v/>
      </c>
    </row>
    <row r="6"/>
    <row r="7">
      <c r="A7" s="6" t="inlineStr">
        <is>
          <t>MARKET DATA &amp; VALUATION PARAMETERS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8" t="inlineStr">
        <is>
          <t>Current Stock Price ($)</t>
        </is>
      </c>
      <c r="B8" s="9" t="n">
        <v>237.27</v>
      </c>
    </row>
    <row r="9">
      <c r="A9" s="8" t="inlineStr">
        <is>
          <t>Diluted Shares Outstanding (M)</t>
        </is>
      </c>
      <c r="B9" s="10" t="n">
        <v>893.3</v>
      </c>
    </row>
    <row r="10">
      <c r="A10" s="11" t="inlineStr">
        <is>
          <t>Market Capitalization ($M)</t>
        </is>
      </c>
      <c r="B10" s="12">
        <f>B8*B9</f>
        <v/>
      </c>
    </row>
    <row r="11">
      <c r="A11" s="8" t="inlineStr">
        <is>
          <t>Cash, Cash Equivalents &amp; ST Investments ($M)</t>
        </is>
      </c>
      <c r="B11" s="9" t="n">
        <v>3843.6</v>
      </c>
    </row>
    <row r="12">
      <c r="A12" s="8" t="inlineStr">
        <is>
          <t>Total Debt (Short-Term + Long-Term Debt) ($M)</t>
        </is>
      </c>
      <c r="B12" s="9" t="n">
        <v>4961.3</v>
      </c>
    </row>
    <row r="13">
      <c r="A13" s="11" t="inlineStr">
        <is>
          <t>Net Debt / (Net Cash) ($M)</t>
        </is>
      </c>
      <c r="B13" s="12">
        <f>B12-B11</f>
        <v/>
      </c>
    </row>
    <row r="14">
      <c r="A14" s="8" t="inlineStr">
        <is>
          <t>Normalized Corporate Tax Rate (%)</t>
        </is>
      </c>
      <c r="B14" s="13" t="n">
        <v>0.21</v>
      </c>
    </row>
    <row r="15"/>
    <row r="16">
      <c r="A16" s="6" t="inlineStr">
        <is>
          <t>I. SCENARIO ASSUMPTION BLOCKS (BEAR / BASE / BULL)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14" t="inlineStr">
        <is>
          <t>BEAR CASE ASSUMPTIONS (Case 1 - Hyperscaler CapEx Digestion &amp; Custom ASIC Delays)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6" t="inlineStr">
        <is>
          <t>Assumption / Driver</t>
        </is>
      </c>
      <c r="B18" s="16" t="inlineStr"/>
      <c r="C18" s="17" t="inlineStr">
        <is>
          <t>FY2027E</t>
        </is>
      </c>
      <c r="D18" s="17" t="inlineStr">
        <is>
          <t>FY2028E</t>
        </is>
      </c>
      <c r="E18" s="17" t="inlineStr">
        <is>
          <t>FY2029E</t>
        </is>
      </c>
      <c r="F18" s="17" t="inlineStr">
        <is>
          <t>FY2030E</t>
        </is>
      </c>
      <c r="G18" s="17" t="inlineStr">
        <is>
          <t>FY2031E</t>
        </is>
      </c>
      <c r="H18" s="17" t="inlineStr">
        <is>
          <t>Terminal</t>
        </is>
      </c>
      <c r="I18" s="17" t="inlineStr">
        <is>
          <t>Rationale</t>
        </is>
      </c>
    </row>
    <row r="19">
      <c r="A19" s="8" t="inlineStr">
        <is>
          <t>Revenue Growth (%)</t>
        </is>
      </c>
      <c r="B19" s="18" t="inlineStr"/>
      <c r="C19" s="13" t="n">
        <v>0.25</v>
      </c>
      <c r="D19" s="13" t="n">
        <v>0.2</v>
      </c>
      <c r="E19" s="13" t="n">
        <v>0.15</v>
      </c>
      <c r="F19" s="13" t="n">
        <v>0.1</v>
      </c>
      <c r="G19" s="13" t="n">
        <v>0.07000000000000001</v>
      </c>
      <c r="H19" s="19" t="inlineStr">
        <is>
          <t>-</t>
        </is>
      </c>
      <c r="I19" s="20" t="inlineStr">
        <is>
          <t>Hyperscalers delay custom ASIC rollouts; optical DSP growth normalizes</t>
        </is>
      </c>
    </row>
    <row r="20">
      <c r="A20" s="8" t="inlineStr">
        <is>
          <t>Gross Margin (%)</t>
        </is>
      </c>
      <c r="B20" s="18" t="inlineStr"/>
      <c r="C20" s="13" t="n">
        <v>0.48</v>
      </c>
      <c r="D20" s="13" t="n">
        <v>0.485</v>
      </c>
      <c r="E20" s="13" t="n">
        <v>0.49</v>
      </c>
      <c r="F20" s="13" t="n">
        <v>0.495</v>
      </c>
      <c r="G20" s="13" t="n">
        <v>0.5</v>
      </c>
      <c r="H20" s="19" t="inlineStr">
        <is>
          <t>-</t>
        </is>
      </c>
      <c r="I20" s="20" t="inlineStr">
        <is>
          <t>Competitive pressure in optical DSP and higher wafer costs</t>
        </is>
      </c>
    </row>
    <row r="21">
      <c r="A21" s="8" t="inlineStr">
        <is>
          <t>EBIT Margin (%)</t>
        </is>
      </c>
      <c r="B21" s="18" t="inlineStr"/>
      <c r="C21" s="13" t="n">
        <v>0.18</v>
      </c>
      <c r="D21" s="13" t="n">
        <v>0.2</v>
      </c>
      <c r="E21" s="13" t="n">
        <v>0.22</v>
      </c>
      <c r="F21" s="13" t="n">
        <v>0.23</v>
      </c>
      <c r="G21" s="13" t="n">
        <v>0.24</v>
      </c>
      <c r="H21" s="19" t="inlineStr">
        <is>
          <t>-</t>
        </is>
      </c>
      <c r="I21" s="20" t="inlineStr">
        <is>
          <t>OpEx deleverage as revenue growth slows relative to high R&amp;D commitment</t>
        </is>
      </c>
    </row>
    <row r="22">
      <c r="A22" s="8" t="inlineStr">
        <is>
          <t>CapEx % Revenue</t>
        </is>
      </c>
      <c r="B22" s="18" t="inlineStr"/>
      <c r="C22" s="13" t="n">
        <v>0.048</v>
      </c>
      <c r="D22" s="13" t="n">
        <v>0.045</v>
      </c>
      <c r="E22" s="13" t="n">
        <v>0.042</v>
      </c>
      <c r="F22" s="13" t="n">
        <v>0.04</v>
      </c>
      <c r="G22" s="13" t="n">
        <v>0.038</v>
      </c>
      <c r="H22" s="13" t="n">
        <v>0.035</v>
      </c>
      <c r="I22" s="20" t="inlineStr">
        <is>
          <t>Continued mask set and advanced packaging testing expenditures</t>
        </is>
      </c>
    </row>
    <row r="23">
      <c r="A23" s="8" t="inlineStr">
        <is>
          <t>D&amp;A % Revenue</t>
        </is>
      </c>
      <c r="B23" s="18" t="inlineStr"/>
      <c r="C23" s="13" t="n">
        <v>0.12</v>
      </c>
      <c r="D23" s="13" t="n">
        <v>0.1</v>
      </c>
      <c r="E23" s="13" t="n">
        <v>0.08500000000000001</v>
      </c>
      <c r="F23" s="13" t="n">
        <v>0.075</v>
      </c>
      <c r="G23" s="13" t="n">
        <v>0.07000000000000001</v>
      </c>
      <c r="H23" s="13" t="n">
        <v>0.065</v>
      </c>
      <c r="I23" s="20" t="inlineStr">
        <is>
          <t>Amortization of acquired intangible assets and lab equipment depreciation</t>
        </is>
      </c>
    </row>
    <row r="24">
      <c r="A24" s="8" t="inlineStr">
        <is>
          <t>NWC Change % ΔRev</t>
        </is>
      </c>
      <c r="B24" s="18" t="inlineStr"/>
      <c r="C24" s="13" t="n">
        <v>0.025</v>
      </c>
      <c r="D24" s="13" t="n">
        <v>0.025</v>
      </c>
      <c r="E24" s="13" t="n">
        <v>0.025</v>
      </c>
      <c r="F24" s="13" t="n">
        <v>0.025</v>
      </c>
      <c r="G24" s="13" t="n">
        <v>0.025</v>
      </c>
      <c r="H24" s="19" t="inlineStr">
        <is>
          <t>-</t>
        </is>
      </c>
      <c r="I24" s="20" t="inlineStr">
        <is>
          <t>Working capital requirement from inventory buildup</t>
        </is>
      </c>
    </row>
    <row r="25">
      <c r="A25" s="8" t="inlineStr">
        <is>
          <t>Terminal Growth Rate (%)</t>
        </is>
      </c>
      <c r="B25" s="18" t="inlineStr"/>
      <c r="C25" s="21" t="inlineStr">
        <is>
          <t>-</t>
        </is>
      </c>
      <c r="D25" s="21" t="inlineStr">
        <is>
          <t>-</t>
        </is>
      </c>
      <c r="E25" s="21" t="inlineStr">
        <is>
          <t>-</t>
        </is>
      </c>
      <c r="F25" s="21" t="inlineStr">
        <is>
          <t>-</t>
        </is>
      </c>
      <c r="G25" s="21" t="inlineStr">
        <is>
          <t>-</t>
        </is>
      </c>
      <c r="H25" s="22" t="n">
        <v>0.025</v>
      </c>
      <c r="I25" s="20" t="inlineStr">
        <is>
          <t>Conservative long-term GDP growth rate (2.50%)</t>
        </is>
      </c>
    </row>
    <row r="26">
      <c r="A26" s="8" t="inlineStr">
        <is>
          <t>WACC (Discount Rate) (%)</t>
        </is>
      </c>
      <c r="B26" s="18" t="inlineStr"/>
      <c r="C26" s="21" t="inlineStr">
        <is>
          <t>-</t>
        </is>
      </c>
      <c r="D26" s="21" t="inlineStr">
        <is>
          <t>-</t>
        </is>
      </c>
      <c r="E26" s="21" t="inlineStr">
        <is>
          <t>-</t>
        </is>
      </c>
      <c r="F26" s="21" t="inlineStr">
        <is>
          <t>-</t>
        </is>
      </c>
      <c r="G26" s="21" t="inlineStr">
        <is>
          <t>-</t>
        </is>
      </c>
      <c r="H26" s="22" t="n">
        <v>0.13</v>
      </c>
      <c r="I26" s="20" t="inlineStr">
        <is>
          <t>Higher equity risk premium &amp; cyclical semiconductor volatility (13.00%)</t>
        </is>
      </c>
    </row>
    <row r="27"/>
    <row r="28">
      <c r="A28" s="14" t="inlineStr">
        <is>
          <t>BASE CASE ASSUMPTIONS (Case 2 - Consensus Custom Silicon &amp; Optical DSP Expansion)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6" t="inlineStr">
        <is>
          <t>Assumption / Driver</t>
        </is>
      </c>
      <c r="B29" s="16" t="inlineStr"/>
      <c r="C29" s="17" t="inlineStr">
        <is>
          <t>FY2027E</t>
        </is>
      </c>
      <c r="D29" s="17" t="inlineStr">
        <is>
          <t>FY2028E</t>
        </is>
      </c>
      <c r="E29" s="17" t="inlineStr">
        <is>
          <t>FY2029E</t>
        </is>
      </c>
      <c r="F29" s="17" t="inlineStr">
        <is>
          <t>FY2030E</t>
        </is>
      </c>
      <c r="G29" s="17" t="inlineStr">
        <is>
          <t>FY2031E</t>
        </is>
      </c>
      <c r="H29" s="17" t="inlineStr">
        <is>
          <t>Terminal</t>
        </is>
      </c>
      <c r="I29" s="17" t="inlineStr">
        <is>
          <t>Rationale</t>
        </is>
      </c>
    </row>
    <row r="30">
      <c r="A30" s="8" t="inlineStr">
        <is>
          <t>Revenue Growth (%)</t>
        </is>
      </c>
      <c r="B30" s="18" t="inlineStr"/>
      <c r="C30" s="13" t="n">
        <v>0.403</v>
      </c>
      <c r="D30" s="13" t="n">
        <v>0.435</v>
      </c>
      <c r="E30" s="13" t="n">
        <v>0.3</v>
      </c>
      <c r="F30" s="13" t="n">
        <v>0.2</v>
      </c>
      <c r="G30" s="13" t="n">
        <v>0.15</v>
      </c>
      <c r="H30" s="19" t="inlineStr">
        <is>
          <t>-</t>
        </is>
      </c>
      <c r="I30" s="20" t="inlineStr">
        <is>
          <t>Consensus &amp; company targets: Custom ASIC (Google/AWS) + 800G/1.6T optics ramp</t>
        </is>
      </c>
    </row>
    <row r="31">
      <c r="A31" s="8" t="inlineStr">
        <is>
          <t>Gross Margin (%)</t>
        </is>
      </c>
      <c r="B31" s="18" t="inlineStr"/>
      <c r="C31" s="13" t="n">
        <v>0.535</v>
      </c>
      <c r="D31" s="13" t="n">
        <v>0.55</v>
      </c>
      <c r="E31" s="13" t="n">
        <v>0.5600000000000001</v>
      </c>
      <c r="F31" s="13" t="n">
        <v>0.5649999999999999</v>
      </c>
      <c r="G31" s="13" t="n">
        <v>0.57</v>
      </c>
      <c r="H31" s="19" t="inlineStr">
        <is>
          <t>-</t>
        </is>
      </c>
      <c r="I31" s="20" t="inlineStr">
        <is>
          <t>Product mix shifts to high-margin electro-optics and high-volume custom compute</t>
        </is>
      </c>
    </row>
    <row r="32">
      <c r="A32" s="8" t="inlineStr">
        <is>
          <t>EBIT Margin (%)</t>
        </is>
      </c>
      <c r="B32" s="18" t="inlineStr"/>
      <c r="C32" s="13" t="n">
        <v>0.24</v>
      </c>
      <c r="D32" s="13" t="n">
        <v>0.28</v>
      </c>
      <c r="E32" s="13" t="n">
        <v>0.3</v>
      </c>
      <c r="F32" s="13" t="n">
        <v>0.32</v>
      </c>
      <c r="G32" s="13" t="n">
        <v>0.33</v>
      </c>
      <c r="H32" s="19" t="inlineStr">
        <is>
          <t>-</t>
        </is>
      </c>
      <c r="I32" s="20" t="inlineStr">
        <is>
          <t>Significant operating leverage as revenue scales past $15B-$25B</t>
        </is>
      </c>
    </row>
    <row r="33">
      <c r="A33" s="8" t="inlineStr">
        <is>
          <t>CapEx % Revenue</t>
        </is>
      </c>
      <c r="B33" s="18" t="inlineStr"/>
      <c r="C33" s="13" t="n">
        <v>0.045</v>
      </c>
      <c r="D33" s="13" t="n">
        <v>0.042</v>
      </c>
      <c r="E33" s="13" t="n">
        <v>0.04</v>
      </c>
      <c r="F33" s="13" t="n">
        <v>0.038</v>
      </c>
      <c r="G33" s="13" t="n">
        <v>0.035</v>
      </c>
      <c r="H33" s="13" t="n">
        <v>0.035</v>
      </c>
      <c r="I33" s="20" t="inlineStr">
        <is>
          <t>Disciplined capital expenditure aligned with fabless semiconductor business model</t>
        </is>
      </c>
    </row>
    <row r="34">
      <c r="A34" s="8" t="inlineStr">
        <is>
          <t>D&amp;A % Revenue</t>
        </is>
      </c>
      <c r="B34" s="18" t="inlineStr"/>
      <c r="C34" s="13" t="n">
        <v>0.12</v>
      </c>
      <c r="D34" s="13" t="n">
        <v>0.095</v>
      </c>
      <c r="E34" s="13" t="n">
        <v>0.08</v>
      </c>
      <c r="F34" s="13" t="n">
        <v>0.07000000000000001</v>
      </c>
      <c r="G34" s="13" t="n">
        <v>0.065</v>
      </c>
      <c r="H34" s="13" t="n">
        <v>0.065</v>
      </c>
      <c r="I34" s="20" t="inlineStr">
        <is>
          <t>D&amp;A scales down as % of revenue as legacy acquisition intangibles run off</t>
        </is>
      </c>
    </row>
    <row r="35">
      <c r="A35" s="8" t="inlineStr">
        <is>
          <t>NWC Change % ΔRev</t>
        </is>
      </c>
      <c r="B35" s="18" t="inlineStr"/>
      <c r="C35" s="13" t="n">
        <v>0.02</v>
      </c>
      <c r="D35" s="13" t="n">
        <v>0.02</v>
      </c>
      <c r="E35" s="13" t="n">
        <v>0.02</v>
      </c>
      <c r="F35" s="13" t="n">
        <v>0.02</v>
      </c>
      <c r="G35" s="13" t="n">
        <v>0.02</v>
      </c>
      <c r="H35" s="19" t="inlineStr">
        <is>
          <t>-</t>
        </is>
      </c>
      <c r="I35" s="20" t="inlineStr">
        <is>
          <t>Normalized working capital requirements on incremental revenue</t>
        </is>
      </c>
    </row>
    <row r="36">
      <c r="A36" s="8" t="inlineStr">
        <is>
          <t>Terminal Growth Rate (%)</t>
        </is>
      </c>
      <c r="B36" s="18" t="inlineStr"/>
      <c r="C36" s="21" t="inlineStr">
        <is>
          <t>-</t>
        </is>
      </c>
      <c r="D36" s="21" t="inlineStr">
        <is>
          <t>-</t>
        </is>
      </c>
      <c r="E36" s="21" t="inlineStr">
        <is>
          <t>-</t>
        </is>
      </c>
      <c r="F36" s="21" t="inlineStr">
        <is>
          <t>-</t>
        </is>
      </c>
      <c r="G36" s="21" t="inlineStr">
        <is>
          <t>-</t>
        </is>
      </c>
      <c r="H36" s="22" t="n">
        <v>0.03</v>
      </c>
      <c r="I36" s="20" t="inlineStr">
        <is>
          <t>Global technological GDP expansion rate (3.00%)</t>
        </is>
      </c>
    </row>
    <row r="37">
      <c r="A37" s="8" t="inlineStr">
        <is>
          <t>WACC (Discount Rate) (%)</t>
        </is>
      </c>
      <c r="B37" s="18" t="inlineStr"/>
      <c r="C37" s="21" t="inlineStr">
        <is>
          <t>-</t>
        </is>
      </c>
      <c r="D37" s="21" t="inlineStr">
        <is>
          <t>-</t>
        </is>
      </c>
      <c r="E37" s="21" t="inlineStr">
        <is>
          <t>-</t>
        </is>
      </c>
      <c r="F37" s="21" t="inlineStr">
        <is>
          <t>-</t>
        </is>
      </c>
      <c r="G37" s="21" t="inlineStr">
        <is>
          <t>-</t>
        </is>
      </c>
      <c r="H37" s="22" t="n">
        <v>0.115</v>
      </c>
      <c r="I37" s="20" t="inlineStr">
        <is>
          <t>Institutional normalized WACC factoring AI data center leadership (11.50%)</t>
        </is>
      </c>
    </row>
    <row r="38"/>
    <row r="39">
      <c r="A39" s="14" t="inlineStr">
        <is>
          <t>BULL CASE ASSUMPTIONS (Case 3 - AI Data Center Supercycle, Multi-Tier ASIC Dominance &amp; CXL)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6" t="inlineStr">
        <is>
          <t>Assumption / Driver</t>
        </is>
      </c>
      <c r="B40" s="16" t="inlineStr"/>
      <c r="C40" s="17" t="inlineStr">
        <is>
          <t>FY2027E</t>
        </is>
      </c>
      <c r="D40" s="17" t="inlineStr">
        <is>
          <t>FY2028E</t>
        </is>
      </c>
      <c r="E40" s="17" t="inlineStr">
        <is>
          <t>FY2029E</t>
        </is>
      </c>
      <c r="F40" s="17" t="inlineStr">
        <is>
          <t>FY2030E</t>
        </is>
      </c>
      <c r="G40" s="17" t="inlineStr">
        <is>
          <t>FY2031E</t>
        </is>
      </c>
      <c r="H40" s="17" t="inlineStr">
        <is>
          <t>Terminal</t>
        </is>
      </c>
      <c r="I40" s="17" t="inlineStr">
        <is>
          <t>Rationale</t>
        </is>
      </c>
    </row>
    <row r="41">
      <c r="A41" s="8" t="inlineStr">
        <is>
          <t>Revenue Growth (%)</t>
        </is>
      </c>
      <c r="B41" s="18" t="inlineStr"/>
      <c r="C41" s="13" t="n">
        <v>0.48</v>
      </c>
      <c r="D41" s="13" t="n">
        <v>0.5</v>
      </c>
      <c r="E41" s="13" t="n">
        <v>0.35</v>
      </c>
      <c r="F41" s="13" t="n">
        <v>0.25</v>
      </c>
      <c r="G41" s="13" t="n">
        <v>0.18</v>
      </c>
      <c r="H41" s="19" t="inlineStr">
        <is>
          <t>-</t>
        </is>
      </c>
      <c r="I41" s="20" t="inlineStr">
        <is>
          <t>AI data center connectivity booms; custom ASIC wins expand to 4+ hyperscalers</t>
        </is>
      </c>
    </row>
    <row r="42">
      <c r="A42" s="8" t="inlineStr">
        <is>
          <t>Gross Margin (%)</t>
        </is>
      </c>
      <c r="B42" s="18" t="inlineStr"/>
      <c r="C42" s="13" t="n">
        <v>0.55</v>
      </c>
      <c r="D42" s="13" t="n">
        <v>0.57</v>
      </c>
      <c r="E42" s="13" t="n">
        <v>0.58</v>
      </c>
      <c r="F42" s="13" t="n">
        <v>0.585</v>
      </c>
      <c r="G42" s="13" t="n">
        <v>0.59</v>
      </c>
      <c r="H42" s="19" t="inlineStr">
        <is>
          <t>-</t>
        </is>
      </c>
      <c r="I42" s="20" t="inlineStr">
        <is>
          <t>High-density 1.6T/3.2T optical DSP and custom AI XPUs command premium margins</t>
        </is>
      </c>
    </row>
    <row r="43">
      <c r="A43" s="8" t="inlineStr">
        <is>
          <t>EBIT Margin (%)</t>
        </is>
      </c>
      <c r="B43" s="18" t="inlineStr"/>
      <c r="C43" s="13" t="n">
        <v>0.26</v>
      </c>
      <c r="D43" s="13" t="n">
        <v>0.3</v>
      </c>
      <c r="E43" s="13" t="n">
        <v>0.33</v>
      </c>
      <c r="F43" s="13" t="n">
        <v>0.35</v>
      </c>
      <c r="G43" s="13" t="n">
        <v>0.36</v>
      </c>
      <c r="H43" s="19" t="inlineStr">
        <is>
          <t>-</t>
        </is>
      </c>
      <c r="I43" s="20" t="inlineStr">
        <is>
          <t>Exceptional operating leverage with revenue outpacing SG&amp;A/R&amp;D growth</t>
        </is>
      </c>
    </row>
    <row r="44">
      <c r="A44" s="8" t="inlineStr">
        <is>
          <t>CapEx % Revenue</t>
        </is>
      </c>
      <c r="B44" s="18" t="inlineStr"/>
      <c r="C44" s="13" t="n">
        <v>0.042</v>
      </c>
      <c r="D44" s="13" t="n">
        <v>0.04</v>
      </c>
      <c r="E44" s="13" t="n">
        <v>0.038</v>
      </c>
      <c r="F44" s="13" t="n">
        <v>0.035</v>
      </c>
      <c r="G44" s="13" t="n">
        <v>0.032</v>
      </c>
      <c r="H44" s="13" t="n">
        <v>0.032</v>
      </c>
      <c r="I44" s="20" t="inlineStr">
        <is>
          <t>Efficient capital intensity leveraging foundry partners (TSMC 3nm/2nm)</t>
        </is>
      </c>
    </row>
    <row r="45">
      <c r="A45" s="8" t="inlineStr">
        <is>
          <t>D&amp;A % Revenue</t>
        </is>
      </c>
      <c r="B45" s="18" t="inlineStr"/>
      <c r="C45" s="13" t="n">
        <v>0.12</v>
      </c>
      <c r="D45" s="13" t="n">
        <v>0.09</v>
      </c>
      <c r="E45" s="13" t="n">
        <v>0.075</v>
      </c>
      <c r="F45" s="13" t="n">
        <v>0.065</v>
      </c>
      <c r="G45" s="13" t="n">
        <v>0.06</v>
      </c>
      <c r="H45" s="13" t="n">
        <v>0.06</v>
      </c>
      <c r="I45" s="20" t="inlineStr">
        <is>
          <t>Optimized amortization schedule as revenue expands rapidly</t>
        </is>
      </c>
    </row>
    <row r="46">
      <c r="A46" s="8" t="inlineStr">
        <is>
          <t>NWC Change % ΔRev</t>
        </is>
      </c>
      <c r="B46" s="18" t="inlineStr"/>
      <c r="C46" s="13" t="n">
        <v>0.015</v>
      </c>
      <c r="D46" s="13" t="n">
        <v>0.015</v>
      </c>
      <c r="E46" s="13" t="n">
        <v>0.015</v>
      </c>
      <c r="F46" s="13" t="n">
        <v>0.015</v>
      </c>
      <c r="G46" s="13" t="n">
        <v>0.015</v>
      </c>
      <c r="H46" s="19" t="inlineStr">
        <is>
          <t>-</t>
        </is>
      </c>
      <c r="I46" s="20" t="inlineStr">
        <is>
          <t>Strong bargaining power and advance customer prepayments</t>
        </is>
      </c>
    </row>
    <row r="47">
      <c r="A47" s="8" t="inlineStr">
        <is>
          <t>Terminal Growth Rate (%)</t>
        </is>
      </c>
      <c r="B47" s="18" t="inlineStr"/>
      <c r="C47" s="21" t="inlineStr">
        <is>
          <t>-</t>
        </is>
      </c>
      <c r="D47" s="21" t="inlineStr">
        <is>
          <t>-</t>
        </is>
      </c>
      <c r="E47" s="21" t="inlineStr">
        <is>
          <t>-</t>
        </is>
      </c>
      <c r="F47" s="21" t="inlineStr">
        <is>
          <t>-</t>
        </is>
      </c>
      <c r="G47" s="21" t="inlineStr">
        <is>
          <t>-</t>
        </is>
      </c>
      <c r="H47" s="22" t="n">
        <v>0.035</v>
      </c>
      <c r="I47" s="20" t="inlineStr">
        <is>
          <t>Secular AI connectivity and custom compute market leadership (3.50%)</t>
        </is>
      </c>
    </row>
    <row r="48">
      <c r="A48" s="8" t="inlineStr">
        <is>
          <t>WACC (Discount Rate) (%)</t>
        </is>
      </c>
      <c r="B48" s="18" t="inlineStr"/>
      <c r="C48" s="21" t="inlineStr">
        <is>
          <t>-</t>
        </is>
      </c>
      <c r="D48" s="21" t="inlineStr">
        <is>
          <t>-</t>
        </is>
      </c>
      <c r="E48" s="21" t="inlineStr">
        <is>
          <t>-</t>
        </is>
      </c>
      <c r="F48" s="21" t="inlineStr">
        <is>
          <t>-</t>
        </is>
      </c>
      <c r="G48" s="21" t="inlineStr">
        <is>
          <t>-</t>
        </is>
      </c>
      <c r="H48" s="22" t="n">
        <v>0.105</v>
      </c>
      <c r="I48" s="20" t="inlineStr">
        <is>
          <t>Lower equity risk premium reflecting entrenched hyperscaler design wins (10.50%)</t>
        </is>
      </c>
    </row>
    <row r="49"/>
    <row r="50">
      <c r="A50" s="6" t="inlineStr">
        <is>
          <t>ACTIVE MODEL CONSOLIDATION SCHEDULE (DYNAMIC CASE SELECTION)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16" t="inlineStr">
        <is>
          <t>Active Driver / Assumption</t>
        </is>
      </c>
      <c r="B51" s="16" t="inlineStr">
        <is>
          <t>Case Ref</t>
        </is>
      </c>
      <c r="C51" s="17" t="inlineStr">
        <is>
          <t>FY2027E</t>
        </is>
      </c>
      <c r="D51" s="17" t="inlineStr">
        <is>
          <t>FY2028E</t>
        </is>
      </c>
      <c r="E51" s="17" t="inlineStr">
        <is>
          <t>FY2029E</t>
        </is>
      </c>
      <c r="F51" s="17" t="inlineStr">
        <is>
          <t>FY2030E</t>
        </is>
      </c>
      <c r="G51" s="17" t="inlineStr">
        <is>
          <t>FY2031E</t>
        </is>
      </c>
      <c r="H51" s="17" t="inlineStr">
        <is>
          <t>Terminal</t>
        </is>
      </c>
      <c r="I51" s="17" t="inlineStr">
        <is>
          <t>Active Dynamic Formula Reference</t>
        </is>
      </c>
    </row>
    <row r="52">
      <c r="A52" s="11" t="inlineStr">
        <is>
          <t>Active Revenue Growth (%)</t>
        </is>
      </c>
      <c r="B52" s="23">
        <f>B4</f>
        <v/>
      </c>
      <c r="C52" s="24">
        <f>CHOOSE($B$4, C19, C30, C41)</f>
        <v/>
      </c>
      <c r="D52" s="24">
        <f>CHOOSE($B$4, D19, D30, D41)</f>
        <v/>
      </c>
      <c r="E52" s="24">
        <f>CHOOSE($B$4, E19, E30, E41)</f>
        <v/>
      </c>
      <c r="F52" s="24">
        <f>CHOOSE($B$4, F19, F30, F41)</f>
        <v/>
      </c>
      <c r="G52" s="24">
        <f>CHOOSE($B$4, G19, G30, G41)</f>
        <v/>
      </c>
      <c r="H52" s="25" t="inlineStr">
        <is>
          <t>-</t>
        </is>
      </c>
      <c r="I52" s="20" t="inlineStr">
        <is>
          <t>Dynamic revenue growth path based on active case selection</t>
        </is>
      </c>
    </row>
    <row r="53">
      <c r="A53" s="11" t="inlineStr">
        <is>
          <t>Active Gross Margin (%)</t>
        </is>
      </c>
      <c r="B53" s="23">
        <f>B4</f>
        <v/>
      </c>
      <c r="C53" s="24">
        <f>CHOOSE($B$4, C20, C31, C42)</f>
        <v/>
      </c>
      <c r="D53" s="24">
        <f>CHOOSE($B$4, D20, D31, D42)</f>
        <v/>
      </c>
      <c r="E53" s="24">
        <f>CHOOSE($B$4, E20, E31, E42)</f>
        <v/>
      </c>
      <c r="F53" s="24">
        <f>CHOOSE($B$4, F20, F31, F42)</f>
        <v/>
      </c>
      <c r="G53" s="24">
        <f>CHOOSE($B$4, G20, G31, G42)</f>
        <v/>
      </c>
      <c r="H53" s="25" t="inlineStr">
        <is>
          <t>-</t>
        </is>
      </c>
      <c r="I53" s="20" t="inlineStr">
        <is>
          <t>Dynamic gross profitability profile</t>
        </is>
      </c>
    </row>
    <row r="54">
      <c r="A54" s="11" t="inlineStr">
        <is>
          <t>Active EBIT Margin (%)</t>
        </is>
      </c>
      <c r="B54" s="23">
        <f>B4</f>
        <v/>
      </c>
      <c r="C54" s="24">
        <f>CHOOSE($B$4, C21, C32, C43)</f>
        <v/>
      </c>
      <c r="D54" s="24">
        <f>CHOOSE($B$4, D21, D32, D43)</f>
        <v/>
      </c>
      <c r="E54" s="24">
        <f>CHOOSE($B$4, E21, E32, E43)</f>
        <v/>
      </c>
      <c r="F54" s="24">
        <f>CHOOSE($B$4, F21, F32, F43)</f>
        <v/>
      </c>
      <c r="G54" s="24">
        <f>CHOOSE($B$4, G21, G32, G43)</f>
        <v/>
      </c>
      <c r="H54" s="25" t="inlineStr">
        <is>
          <t>-</t>
        </is>
      </c>
      <c r="I54" s="20" t="inlineStr">
        <is>
          <t>Dynamic operating margin profile</t>
        </is>
      </c>
    </row>
    <row r="55">
      <c r="A55" s="11" t="inlineStr">
        <is>
          <t>Active CapEx % Revenue</t>
        </is>
      </c>
      <c r="B55" s="23">
        <f>B4</f>
        <v/>
      </c>
      <c r="C55" s="24">
        <f>CHOOSE($B$4, C22, C33, C44)</f>
        <v/>
      </c>
      <c r="D55" s="24">
        <f>CHOOSE($B$4, D22, D33, D44)</f>
        <v/>
      </c>
      <c r="E55" s="24">
        <f>CHOOSE($B$4, E22, E33, E44)</f>
        <v/>
      </c>
      <c r="F55" s="24">
        <f>CHOOSE($B$4, F22, F33, F44)</f>
        <v/>
      </c>
      <c r="G55" s="24">
        <f>CHOOSE($B$4, G22, G33, G44)</f>
        <v/>
      </c>
      <c r="H55" s="24">
        <f>CHOOSE($B$4, H22, H33, H44)</f>
        <v/>
      </c>
      <c r="I55" s="20" t="inlineStr">
        <is>
          <t>Dynamic capital expenditure reinvestment intensity</t>
        </is>
      </c>
    </row>
    <row r="56">
      <c r="A56" s="11" t="inlineStr">
        <is>
          <t>Active D&amp;A % Revenue</t>
        </is>
      </c>
      <c r="B56" s="23">
        <f>B4</f>
        <v/>
      </c>
      <c r="C56" s="24">
        <f>CHOOSE($B$4, C23, C34, C45)</f>
        <v/>
      </c>
      <c r="D56" s="24">
        <f>CHOOSE($B$4, D23, D34, D45)</f>
        <v/>
      </c>
      <c r="E56" s="24">
        <f>CHOOSE($B$4, E23, E34, E45)</f>
        <v/>
      </c>
      <c r="F56" s="24">
        <f>CHOOSE($B$4, F23, F34, F45)</f>
        <v/>
      </c>
      <c r="G56" s="24">
        <f>CHOOSE($B$4, G23, G34, G45)</f>
        <v/>
      </c>
      <c r="H56" s="24">
        <f>CHOOSE($B$4, H23, H34, H45)</f>
        <v/>
      </c>
      <c r="I56" s="20" t="inlineStr">
        <is>
          <t>Dynamic depreciation &amp; amortization rate</t>
        </is>
      </c>
    </row>
    <row r="57">
      <c r="A57" s="11" t="inlineStr">
        <is>
          <t>Active NWC Change % ΔRev</t>
        </is>
      </c>
      <c r="B57" s="23">
        <f>B4</f>
        <v/>
      </c>
      <c r="C57" s="24">
        <f>CHOOSE($B$4, C24, C35, C46)</f>
        <v/>
      </c>
      <c r="D57" s="24">
        <f>CHOOSE($B$4, D24, D35, D46)</f>
        <v/>
      </c>
      <c r="E57" s="24">
        <f>CHOOSE($B$4, E24, E35, E46)</f>
        <v/>
      </c>
      <c r="F57" s="24">
        <f>CHOOSE($B$4, F24, F35, F46)</f>
        <v/>
      </c>
      <c r="G57" s="24">
        <f>CHOOSE($B$4, G24, G35, G46)</f>
        <v/>
      </c>
      <c r="H57" s="25" t="inlineStr">
        <is>
          <t>-</t>
        </is>
      </c>
      <c r="I57" s="20" t="inlineStr">
        <is>
          <t>Dynamic net working capital requirement on incremental revenue</t>
        </is>
      </c>
    </row>
    <row r="58">
      <c r="A58" s="11" t="inlineStr">
        <is>
          <t>Active Terminal Growth Rate (%)</t>
        </is>
      </c>
      <c r="B58" s="23">
        <f>B4</f>
        <v/>
      </c>
      <c r="C58" s="25" t="inlineStr">
        <is>
          <t>-</t>
        </is>
      </c>
      <c r="D58" s="25" t="inlineStr">
        <is>
          <t>-</t>
        </is>
      </c>
      <c r="E58" s="25" t="inlineStr">
        <is>
          <t>-</t>
        </is>
      </c>
      <c r="F58" s="25" t="inlineStr">
        <is>
          <t>-</t>
        </is>
      </c>
      <c r="G58" s="25" t="inlineStr">
        <is>
          <t>-</t>
        </is>
      </c>
      <c r="H58" s="26">
        <f>CHOOSE($B$4, H25, H36, H47)</f>
        <v/>
      </c>
      <c r="I58" s="20" t="inlineStr">
        <is>
          <t>Perpetual terminal growth rate for DCF terminal value calculation</t>
        </is>
      </c>
    </row>
    <row r="59">
      <c r="A59" s="11" t="inlineStr">
        <is>
          <t>Active WACC (Discount Rate) (%)</t>
        </is>
      </c>
      <c r="B59" s="23">
        <f>B4</f>
        <v/>
      </c>
      <c r="C59" s="25" t="inlineStr">
        <is>
          <t>-</t>
        </is>
      </c>
      <c r="D59" s="25" t="inlineStr">
        <is>
          <t>-</t>
        </is>
      </c>
      <c r="E59" s="25" t="inlineStr">
        <is>
          <t>-</t>
        </is>
      </c>
      <c r="F59" s="25" t="inlineStr">
        <is>
          <t>-</t>
        </is>
      </c>
      <c r="G59" s="25" t="inlineStr">
        <is>
          <t>-</t>
        </is>
      </c>
      <c r="H59" s="26">
        <f>CHOOSE($B$4, H26, H37, H48)</f>
        <v/>
      </c>
      <c r="I59" s="20" t="inlineStr">
        <is>
          <t>Cost of capital discount rate applied to projected cash flows</t>
        </is>
      </c>
    </row>
    <row r="60"/>
    <row r="61">
      <c r="A61" s="6" t="inlineStr">
        <is>
          <t>II. HISTORICAL &amp; PROJECTED FINANCIAL PERFORMANCE ($M)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16" t="inlineStr">
        <is>
          <t>Income Statement ($M)</t>
        </is>
      </c>
      <c r="B62" s="17" t="inlineStr">
        <is>
          <t>FY2024A</t>
        </is>
      </c>
      <c r="C62" s="17" t="inlineStr">
        <is>
          <t>FY2025A</t>
        </is>
      </c>
      <c r="D62" s="17" t="inlineStr">
        <is>
          <t>FY2026A</t>
        </is>
      </c>
      <c r="E62" s="17" t="inlineStr">
        <is>
          <t>FY2027E</t>
        </is>
      </c>
      <c r="F62" s="17" t="inlineStr">
        <is>
          <t>FY2028E</t>
        </is>
      </c>
      <c r="G62" s="17" t="inlineStr">
        <is>
          <t>FY2029E</t>
        </is>
      </c>
      <c r="H62" s="17" t="inlineStr">
        <is>
          <t>FY2030E</t>
        </is>
      </c>
      <c r="I62" s="17" t="inlineStr">
        <is>
          <t>FY2031E</t>
        </is>
      </c>
    </row>
    <row r="63">
      <c r="A63" s="11" t="inlineStr">
        <is>
          <t>Total Revenue ($M)</t>
        </is>
      </c>
      <c r="B63" s="9" t="n">
        <v>5508</v>
      </c>
      <c r="C63" s="9" t="n">
        <v>5767</v>
      </c>
      <c r="D63" s="9" t="n">
        <v>8195</v>
      </c>
      <c r="E63" s="27">
        <f>D63*(1+C52)</f>
        <v/>
      </c>
      <c r="F63" s="27">
        <f>E63*(1+D52)</f>
        <v/>
      </c>
      <c r="G63" s="27">
        <f>F63*(1+E52)</f>
        <v/>
      </c>
      <c r="H63" s="27">
        <f>G63*(1+F52)</f>
        <v/>
      </c>
      <c r="I63" s="27">
        <f>H63*(1+G52)</f>
        <v/>
      </c>
    </row>
    <row r="64">
      <c r="A64" s="20" t="inlineStr">
        <is>
          <t xml:space="preserve">  YoY Revenue Growth (%)</t>
        </is>
      </c>
      <c r="B64" s="13" t="n">
        <v>-0.0696</v>
      </c>
      <c r="C64" s="28">
        <f>C63/B63-1</f>
        <v/>
      </c>
      <c r="D64" s="28">
        <f>D63/C63-1</f>
        <v/>
      </c>
      <c r="E64" s="28">
        <f>E63/D63-1</f>
        <v/>
      </c>
      <c r="F64" s="28">
        <f>F63/E63-1</f>
        <v/>
      </c>
      <c r="G64" s="28">
        <f>G63/F63-1</f>
        <v/>
      </c>
      <c r="H64" s="28">
        <f>H63/G63-1</f>
        <v/>
      </c>
      <c r="I64" s="28">
        <f>I63/H63-1</f>
        <v/>
      </c>
    </row>
    <row r="65">
      <c r="A65" s="8" t="inlineStr">
        <is>
          <t>Cost of Goods Sold (COGS) ($M)</t>
        </is>
      </c>
      <c r="B65" s="9" t="n">
        <v>3214</v>
      </c>
      <c r="C65" s="9" t="n">
        <v>3385</v>
      </c>
      <c r="D65" s="9" t="n">
        <v>4014</v>
      </c>
      <c r="E65" s="29">
        <f>E63*(1-C53)</f>
        <v/>
      </c>
      <c r="F65" s="29">
        <f>F63*(1-D53)</f>
        <v/>
      </c>
      <c r="G65" s="29">
        <f>G63*(1-E53)</f>
        <v/>
      </c>
      <c r="H65" s="29">
        <f>H63*(1-F53)</f>
        <v/>
      </c>
      <c r="I65" s="29">
        <f>I63*(1-G53)</f>
        <v/>
      </c>
    </row>
    <row r="66">
      <c r="A66" s="11" t="inlineStr">
        <is>
          <t>Gross Profit ($M)</t>
        </is>
      </c>
      <c r="B66" s="27">
        <f>B63-B65</f>
        <v/>
      </c>
      <c r="C66" s="27">
        <f>C63-C65</f>
        <v/>
      </c>
      <c r="D66" s="27">
        <f>D63-D65</f>
        <v/>
      </c>
      <c r="E66" s="27">
        <f>E63-E65</f>
        <v/>
      </c>
      <c r="F66" s="27">
        <f>F63-F65</f>
        <v/>
      </c>
      <c r="G66" s="27">
        <f>G63-G65</f>
        <v/>
      </c>
      <c r="H66" s="27">
        <f>H63-H65</f>
        <v/>
      </c>
      <c r="I66" s="27">
        <f>I63-I65</f>
        <v/>
      </c>
    </row>
    <row r="67">
      <c r="A67" s="20" t="inlineStr">
        <is>
          <t xml:space="preserve">  Gross Profit Margin (%)</t>
        </is>
      </c>
      <c r="B67" s="28">
        <f>B66/B63</f>
        <v/>
      </c>
      <c r="C67" s="28">
        <f>C66/C63</f>
        <v/>
      </c>
      <c r="D67" s="28">
        <f>D66/D63</f>
        <v/>
      </c>
      <c r="E67" s="28">
        <f>E66/E63</f>
        <v/>
      </c>
      <c r="F67" s="28">
        <f>F66/F63</f>
        <v/>
      </c>
      <c r="G67" s="28">
        <f>G66/G63</f>
        <v/>
      </c>
      <c r="H67" s="28">
        <f>H66/H63</f>
        <v/>
      </c>
      <c r="I67" s="28">
        <f>I66/I63</f>
        <v/>
      </c>
    </row>
    <row r="68">
      <c r="A68" s="8" t="inlineStr">
        <is>
          <t>Research &amp; Development (R&amp;D) ($M)</t>
        </is>
      </c>
      <c r="B68" s="9" t="n">
        <v>1885</v>
      </c>
      <c r="C68" s="9" t="n">
        <v>1980</v>
      </c>
      <c r="D68" s="9" t="n">
        <v>2020</v>
      </c>
      <c r="E68" s="29">
        <f>E63*0.175</f>
        <v/>
      </c>
      <c r="F68" s="29">
        <f>F63*0.175</f>
        <v/>
      </c>
      <c r="G68" s="29">
        <f>G63*0.175</f>
        <v/>
      </c>
      <c r="H68" s="29">
        <f>H63*0.175</f>
        <v/>
      </c>
      <c r="I68" s="29">
        <f>I63*0.175</f>
        <v/>
      </c>
    </row>
    <row r="69">
      <c r="A69" s="8" t="inlineStr">
        <is>
          <t>Selling, General &amp; Administrative (SG&amp;A) ($M)</t>
        </is>
      </c>
      <c r="B69" s="9" t="n">
        <v>977</v>
      </c>
      <c r="C69" s="9" t="n">
        <v>1122</v>
      </c>
      <c r="D69" s="9" t="n">
        <v>838</v>
      </c>
      <c r="E69" s="29">
        <f>E70-E68</f>
        <v/>
      </c>
      <c r="F69" s="29">
        <f>F70-F68</f>
        <v/>
      </c>
      <c r="G69" s="29">
        <f>G70-G68</f>
        <v/>
      </c>
      <c r="H69" s="29">
        <f>H70-H68</f>
        <v/>
      </c>
      <c r="I69" s="29">
        <f>I70-I68</f>
        <v/>
      </c>
    </row>
    <row r="70">
      <c r="A70" s="11" t="inlineStr">
        <is>
          <t>Total Operating Expenses (OpEx) ($M)</t>
        </is>
      </c>
      <c r="B70" s="30">
        <f>B68+B69</f>
        <v/>
      </c>
      <c r="C70" s="30">
        <f>C68+C69</f>
        <v/>
      </c>
      <c r="D70" s="30">
        <f>D68+D69</f>
        <v/>
      </c>
      <c r="E70" s="30">
        <f>E66-E71</f>
        <v/>
      </c>
      <c r="F70" s="30">
        <f>F66-F71</f>
        <v/>
      </c>
      <c r="G70" s="30">
        <f>G66-G71</f>
        <v/>
      </c>
      <c r="H70" s="30">
        <f>H66-H71</f>
        <v/>
      </c>
      <c r="I70" s="30">
        <f>I66-I71</f>
        <v/>
      </c>
    </row>
    <row r="71">
      <c r="A71" s="31" t="inlineStr">
        <is>
          <t>Operating Income (EBIT) ($M)</t>
        </is>
      </c>
      <c r="B71" s="32">
        <f>B66-B70</f>
        <v/>
      </c>
      <c r="C71" s="32">
        <f>C66-C70</f>
        <v/>
      </c>
      <c r="D71" s="32">
        <f>D66-D70</f>
        <v/>
      </c>
      <c r="E71" s="32">
        <f>E63*C54</f>
        <v/>
      </c>
      <c r="F71" s="32">
        <f>F63*D54</f>
        <v/>
      </c>
      <c r="G71" s="32">
        <f>G63*E54</f>
        <v/>
      </c>
      <c r="H71" s="32">
        <f>H63*F54</f>
        <v/>
      </c>
      <c r="I71" s="32">
        <f>I63*G54</f>
        <v/>
      </c>
    </row>
    <row r="72">
      <c r="A72" s="20" t="inlineStr">
        <is>
          <t xml:space="preserve">  EBIT Margin (%)</t>
        </is>
      </c>
      <c r="B72" s="28">
        <f>B71/B63</f>
        <v/>
      </c>
      <c r="C72" s="28">
        <f>C71/C63</f>
        <v/>
      </c>
      <c r="D72" s="28">
        <f>D71/D63</f>
        <v/>
      </c>
      <c r="E72" s="28">
        <f>E71/E63</f>
        <v/>
      </c>
      <c r="F72" s="28">
        <f>F71/F63</f>
        <v/>
      </c>
      <c r="G72" s="28">
        <f>G71/G63</f>
        <v/>
      </c>
      <c r="H72" s="28">
        <f>H71/H63</f>
        <v/>
      </c>
      <c r="I72" s="28">
        <f>I71/I63</f>
        <v/>
      </c>
    </row>
    <row r="73">
      <c r="A73" s="8" t="inlineStr">
        <is>
          <t>Normalized Income Taxes on EBIT ($M)</t>
        </is>
      </c>
      <c r="B73" s="9" t="n">
        <v>-92</v>
      </c>
      <c r="C73" s="9" t="n">
        <v>-110</v>
      </c>
      <c r="D73" s="9" t="n">
        <v>277.83</v>
      </c>
      <c r="E73" s="29">
        <f>E71*$B$14</f>
        <v/>
      </c>
      <c r="F73" s="29">
        <f>F71*$B$14</f>
        <v/>
      </c>
      <c r="G73" s="29">
        <f>G71*$B$14</f>
        <v/>
      </c>
      <c r="H73" s="29">
        <f>H71*$B$14</f>
        <v/>
      </c>
      <c r="I73" s="29">
        <f>I71*$B$14</f>
        <v/>
      </c>
    </row>
    <row r="74">
      <c r="A74" s="20" t="inlineStr">
        <is>
          <t xml:space="preserve">  Effective Tax Rate (%)</t>
        </is>
      </c>
      <c r="B74" s="28">
        <f>B73/B71</f>
        <v/>
      </c>
      <c r="C74" s="28">
        <f>C73/C71</f>
        <v/>
      </c>
      <c r="D74" s="28">
        <f>D73/D71</f>
        <v/>
      </c>
      <c r="E74" s="28">
        <f>E73/E71</f>
        <v/>
      </c>
      <c r="F74" s="28">
        <f>F73/F71</f>
        <v/>
      </c>
      <c r="G74" s="28">
        <f>G73/G71</f>
        <v/>
      </c>
      <c r="H74" s="28">
        <f>H73/H71</f>
        <v/>
      </c>
      <c r="I74" s="28">
        <f>I73/I71</f>
        <v/>
      </c>
    </row>
    <row r="75">
      <c r="A75" s="31" t="inlineStr">
        <is>
          <t>Net Operating Profit After Tax (NOPAT) ($M)</t>
        </is>
      </c>
      <c r="B75" s="32">
        <f>B71-B73</f>
        <v/>
      </c>
      <c r="C75" s="32">
        <f>C71-C73</f>
        <v/>
      </c>
      <c r="D75" s="32">
        <f>D71-D73</f>
        <v/>
      </c>
      <c r="E75" s="32">
        <f>E71-E73</f>
        <v/>
      </c>
      <c r="F75" s="32">
        <f>F71-F73</f>
        <v/>
      </c>
      <c r="G75" s="32">
        <f>G71-G73</f>
        <v/>
      </c>
      <c r="H75" s="32">
        <f>H71-H73</f>
        <v/>
      </c>
      <c r="I75" s="32">
        <f>I71-I73</f>
        <v/>
      </c>
    </row>
    <row r="76"/>
    <row r="77">
      <c r="A77" s="6" t="inlineStr">
        <is>
          <t>III. UNLEVERED FREE CASH FLOW (FCFF) SCHEDULE ($M)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16" t="inlineStr">
        <is>
          <t>Free Cash Flow Metric ($M)</t>
        </is>
      </c>
      <c r="B78" s="17" t="inlineStr">
        <is>
          <t>FY2024A</t>
        </is>
      </c>
      <c r="C78" s="17" t="inlineStr">
        <is>
          <t>FY2025A</t>
        </is>
      </c>
      <c r="D78" s="17" t="inlineStr">
        <is>
          <t>FY2026A</t>
        </is>
      </c>
      <c r="E78" s="17" t="inlineStr">
        <is>
          <t>FY2027E</t>
        </is>
      </c>
      <c r="F78" s="17" t="inlineStr">
        <is>
          <t>FY2028E</t>
        </is>
      </c>
      <c r="G78" s="17" t="inlineStr">
        <is>
          <t>FY2029E</t>
        </is>
      </c>
      <c r="H78" s="17" t="inlineStr">
        <is>
          <t>FY2030E</t>
        </is>
      </c>
      <c r="I78" s="17" t="inlineStr">
        <is>
          <t>FY2031E</t>
        </is>
      </c>
    </row>
    <row r="79">
      <c r="A79" s="11" t="inlineStr">
        <is>
          <t>Net Operating Profit After Tax (NOPAT) ($M)</t>
        </is>
      </c>
      <c r="B79" s="27">
        <f>B75</f>
        <v/>
      </c>
      <c r="C79" s="27">
        <f>C75</f>
        <v/>
      </c>
      <c r="D79" s="27">
        <f>D75</f>
        <v/>
      </c>
      <c r="E79" s="27">
        <f>E75</f>
        <v/>
      </c>
      <c r="F79" s="27">
        <f>F75</f>
        <v/>
      </c>
      <c r="G79" s="27">
        <f>G75</f>
        <v/>
      </c>
      <c r="H79" s="27">
        <f>H75</f>
        <v/>
      </c>
      <c r="I79" s="27">
        <f>I75</f>
        <v/>
      </c>
    </row>
    <row r="80">
      <c r="A80" s="8" t="inlineStr">
        <is>
          <t>(+) Depreciation &amp; Amortization (D&amp;A) ($M)</t>
        </is>
      </c>
      <c r="B80" s="9" t="n">
        <v>1580</v>
      </c>
      <c r="C80" s="9" t="n">
        <v>1595</v>
      </c>
      <c r="D80" s="9" t="n">
        <v>1650</v>
      </c>
      <c r="E80" s="29">
        <f>E63*C56</f>
        <v/>
      </c>
      <c r="F80" s="29">
        <f>F63*D56</f>
        <v/>
      </c>
      <c r="G80" s="29">
        <f>G63*E56</f>
        <v/>
      </c>
      <c r="H80" s="29">
        <f>H63*F56</f>
        <v/>
      </c>
      <c r="I80" s="29">
        <f>I63*G56</f>
        <v/>
      </c>
    </row>
    <row r="81">
      <c r="A81" s="8" t="inlineStr">
        <is>
          <t>(-) Capital Expenditures (CapEx) ($M)</t>
        </is>
      </c>
      <c r="B81" s="9" t="n">
        <v>195</v>
      </c>
      <c r="C81" s="9" t="n">
        <v>225</v>
      </c>
      <c r="D81" s="9" t="n">
        <v>320</v>
      </c>
      <c r="E81" s="29">
        <f>E63*C55</f>
        <v/>
      </c>
      <c r="F81" s="29">
        <f>F63*D55</f>
        <v/>
      </c>
      <c r="G81" s="29">
        <f>G63*E55</f>
        <v/>
      </c>
      <c r="H81" s="29">
        <f>H63*F55</f>
        <v/>
      </c>
      <c r="I81" s="29">
        <f>I63*G55</f>
        <v/>
      </c>
    </row>
    <row r="82">
      <c r="A82" s="8" t="inlineStr">
        <is>
          <t>(-) Change in Net Working Capital (Δ NWC) ($M)</t>
        </is>
      </c>
      <c r="B82" s="9" t="n">
        <v>-35</v>
      </c>
      <c r="C82" s="9" t="n">
        <v>45</v>
      </c>
      <c r="D82" s="9" t="n">
        <v>75</v>
      </c>
      <c r="E82" s="29">
        <f>(E63-D63)*C57</f>
        <v/>
      </c>
      <c r="F82" s="29">
        <f>(F63-E63)*D57</f>
        <v/>
      </c>
      <c r="G82" s="29">
        <f>(G63-F63)*E57</f>
        <v/>
      </c>
      <c r="H82" s="29">
        <f>(H63-G63)*F57</f>
        <v/>
      </c>
      <c r="I82" s="29">
        <f>(I63-H63)*G57</f>
        <v/>
      </c>
    </row>
    <row r="83">
      <c r="A83" s="31" t="inlineStr">
        <is>
          <t>Unlevered Free Cash Flow (FCFF) ($M)</t>
        </is>
      </c>
      <c r="B83" s="32">
        <f>B79+B80-B81-B82</f>
        <v/>
      </c>
      <c r="C83" s="32">
        <f>C79+C80-C81-C82</f>
        <v/>
      </c>
      <c r="D83" s="32">
        <f>D79+D80-D81-D82</f>
        <v/>
      </c>
      <c r="E83" s="32">
        <f>E79+E80-E81-E82</f>
        <v/>
      </c>
      <c r="F83" s="32">
        <f>F79+F80-F81-F82</f>
        <v/>
      </c>
      <c r="G83" s="32">
        <f>G79+G80-G81-G82</f>
        <v/>
      </c>
      <c r="H83" s="32">
        <f>H79+H80-H81-H82</f>
        <v/>
      </c>
      <c r="I83" s="32">
        <f>I79+I80-I81-I82</f>
        <v/>
      </c>
    </row>
    <row r="84">
      <c r="A84" s="20" t="inlineStr">
        <is>
          <t xml:space="preserve">  FCFF Conversion Rate (% of EBIT)</t>
        </is>
      </c>
      <c r="B84" s="28">
        <f>B83/B71</f>
        <v/>
      </c>
      <c r="C84" s="28">
        <f>C83/C71</f>
        <v/>
      </c>
      <c r="D84" s="28">
        <f>D83/D71</f>
        <v/>
      </c>
      <c r="E84" s="28">
        <f>E83/E71</f>
        <v/>
      </c>
      <c r="F84" s="28">
        <f>F83/F71</f>
        <v/>
      </c>
      <c r="G84" s="28">
        <f>G83/G71</f>
        <v/>
      </c>
      <c r="H84" s="28">
        <f>H83/H71</f>
        <v/>
      </c>
      <c r="I84" s="28">
        <f>I83/I71</f>
        <v/>
      </c>
    </row>
    <row r="85">
      <c r="A85" s="20" t="inlineStr">
        <is>
          <t xml:space="preserve">  FCFF YoY Growth (%)</t>
        </is>
      </c>
      <c r="B85" s="25" t="inlineStr">
        <is>
          <t>-</t>
        </is>
      </c>
      <c r="C85" s="28">
        <f>C83/B83-1</f>
        <v/>
      </c>
      <c r="D85" s="28">
        <f>D83/C83-1</f>
        <v/>
      </c>
      <c r="E85" s="28">
        <f>E83/D83-1</f>
        <v/>
      </c>
      <c r="F85" s="28">
        <f>F83/E83-1</f>
        <v/>
      </c>
      <c r="G85" s="28">
        <f>G83/F83-1</f>
        <v/>
      </c>
      <c r="H85" s="28">
        <f>H83/G83-1</f>
        <v/>
      </c>
      <c r="I85" s="28">
        <f>I83/H83-1</f>
        <v/>
      </c>
    </row>
    <row r="86"/>
    <row r="87">
      <c r="A87" s="6" t="inlineStr">
        <is>
          <t>IV. DISCOUNTED CASH FLOW VALUATION &amp; EQUITY BRIDGE ($M)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16" t="inlineStr">
        <is>
          <t>Valuation Projection Schedule</t>
        </is>
      </c>
      <c r="B88" s="16" t="inlineStr"/>
      <c r="C88" s="16" t="inlineStr"/>
      <c r="D88" s="16" t="inlineStr"/>
      <c r="E88" s="17" t="inlineStr">
        <is>
          <t>FY2027E</t>
        </is>
      </c>
      <c r="F88" s="17" t="inlineStr">
        <is>
          <t>FY2028E</t>
        </is>
      </c>
      <c r="G88" s="17" t="inlineStr">
        <is>
          <t>FY2029E</t>
        </is>
      </c>
      <c r="H88" s="17" t="inlineStr">
        <is>
          <t>FY2030E</t>
        </is>
      </c>
      <c r="I88" s="17" t="inlineStr">
        <is>
          <t>FY2031E</t>
        </is>
      </c>
    </row>
    <row r="89">
      <c r="A89" s="8" t="inlineStr">
        <is>
          <t>Mid-Year Discount Period (t)</t>
        </is>
      </c>
      <c r="B89" s="18" t="inlineStr"/>
      <c r="C89" s="18" t="inlineStr"/>
      <c r="D89" s="18" t="inlineStr"/>
      <c r="E89" s="33" t="n">
        <v>0.5</v>
      </c>
      <c r="F89" s="33" t="n">
        <v>1.5</v>
      </c>
      <c r="G89" s="33" t="n">
        <v>2.5</v>
      </c>
      <c r="H89" s="33" t="n">
        <v>3.5</v>
      </c>
      <c r="I89" s="33" t="n">
        <v>4.5</v>
      </c>
    </row>
    <row r="90">
      <c r="A90" s="8" t="inlineStr">
        <is>
          <t>Discount Factor (1 / (1 + WACC)^t)</t>
        </is>
      </c>
      <c r="B90" s="18" t="inlineStr"/>
      <c r="C90" s="18" t="inlineStr"/>
      <c r="D90" s="18" t="inlineStr"/>
      <c r="E90" s="34">
        <f>1/(1+$H$59)^E89</f>
        <v/>
      </c>
      <c r="F90" s="34">
        <f>1/(1+$H$59)^F89</f>
        <v/>
      </c>
      <c r="G90" s="34">
        <f>1/(1+$H$59)^G89</f>
        <v/>
      </c>
      <c r="H90" s="34">
        <f>1/(1+$H$59)^H89</f>
        <v/>
      </c>
      <c r="I90" s="34">
        <f>1/(1+$H$59)^I89</f>
        <v/>
      </c>
    </row>
    <row r="91">
      <c r="A91" s="11" t="inlineStr">
        <is>
          <t>Projected Unlevered FCFF ($M)</t>
        </is>
      </c>
      <c r="B91" s="18" t="inlineStr"/>
      <c r="C91" s="18" t="inlineStr"/>
      <c r="D91" s="18" t="inlineStr"/>
      <c r="E91" s="30">
        <f>E83</f>
        <v/>
      </c>
      <c r="F91" s="30">
        <f>F83</f>
        <v/>
      </c>
      <c r="G91" s="30">
        <f>G83</f>
        <v/>
      </c>
      <c r="H91" s="30">
        <f>H83</f>
        <v/>
      </c>
      <c r="I91" s="30">
        <f>I83</f>
        <v/>
      </c>
    </row>
    <row r="92">
      <c r="A92" s="31" t="inlineStr">
        <is>
          <t>Present Value of FCFF ($M)</t>
        </is>
      </c>
      <c r="B92" s="18" t="inlineStr"/>
      <c r="C92" s="18" t="inlineStr"/>
      <c r="D92" s="18" t="inlineStr"/>
      <c r="E92" s="32">
        <f>E90*E91</f>
        <v/>
      </c>
      <c r="F92" s="32">
        <f>F90*F91</f>
        <v/>
      </c>
      <c r="G92" s="32">
        <f>G90*G91</f>
        <v/>
      </c>
      <c r="H92" s="32">
        <f>H90*H91</f>
        <v/>
      </c>
      <c r="I92" s="32">
        <f>I90*I91</f>
        <v/>
      </c>
    </row>
    <row r="93"/>
    <row r="94">
      <c r="A94" s="14" t="inlineStr">
        <is>
          <t>VALUATION SUMMARY &amp; EQUITY BRIDGE ($M)</t>
        </is>
      </c>
      <c r="B94" s="15" t="n"/>
      <c r="C94" s="15" t="n"/>
      <c r="D94" s="15" t="n"/>
      <c r="E94" s="15" t="n"/>
    </row>
    <row r="95">
      <c r="A95" s="11" t="inlineStr">
        <is>
          <t>Cumulative PV of Explicit Forecast FCFFs (FY27E-FY31E) ($M)</t>
        </is>
      </c>
      <c r="B95" s="30">
        <f>SUM(E92:I92)</f>
        <v/>
      </c>
      <c r="C95" s="20" t="inlineStr">
        <is>
          <t>Sum of discounted cash flows over explicit 5-year forecast</t>
        </is>
      </c>
      <c r="D95" s="18" t="n"/>
      <c r="E95" s="18" t="n"/>
    </row>
    <row r="96">
      <c r="A96" s="8" t="inlineStr">
        <is>
          <t>Normalized Terminal Year FCFF (FY2032E) ($M)</t>
        </is>
      </c>
      <c r="B96" s="29">
        <f>I91*(1+H58)</f>
        <v/>
      </c>
      <c r="C96" s="20" t="inlineStr">
        <is>
          <t>Final year explicit FCFF grown at perpetual terminal growth rate</t>
        </is>
      </c>
      <c r="D96" s="18" t="n"/>
      <c r="E96" s="18" t="n"/>
    </row>
    <row r="97">
      <c r="A97" s="11" t="inlineStr">
        <is>
          <t>Implied Terminal Value at FY2031E ($M)</t>
        </is>
      </c>
      <c r="B97" s="30">
        <f>B96/(H59-H58)</f>
        <v/>
      </c>
      <c r="C97" s="20" t="inlineStr">
        <is>
          <t>Gordon Growth Perpetuity Model = FCFF_2032E / (WACC - g)</t>
        </is>
      </c>
      <c r="D97" s="18" t="n"/>
      <c r="E97" s="18" t="n"/>
    </row>
    <row r="98">
      <c r="A98" s="11" t="inlineStr">
        <is>
          <t>Present Value of Terminal Value ($M)</t>
        </is>
      </c>
      <c r="B98" s="30">
        <f>B97/(1+H59)^I89</f>
        <v/>
      </c>
      <c r="C98" s="20" t="inlineStr">
        <is>
          <t>Discounted back to valuation date using 4.5-year mid-year factor</t>
        </is>
      </c>
      <c r="D98" s="18" t="n"/>
      <c r="E98" s="18" t="n"/>
    </row>
    <row r="99">
      <c r="A99" s="20" t="inlineStr">
        <is>
          <t>Terminal Value % of Enterprise Value</t>
        </is>
      </c>
      <c r="B99" s="28">
        <f>B98/B100</f>
        <v/>
      </c>
      <c r="C99" s="20" t="inlineStr">
        <is>
          <t>Healthy DCF benchmark range (50% - 70% of Enterprise Value)</t>
        </is>
      </c>
      <c r="D99" s="18" t="n"/>
      <c r="E99" s="18" t="n"/>
    </row>
    <row r="100">
      <c r="A100" s="35" t="inlineStr">
        <is>
          <t>IMPLIED ENTERPRISE VALUE ($M)</t>
        </is>
      </c>
      <c r="B100" s="32">
        <f>B95+B98</f>
        <v/>
      </c>
      <c r="C100" s="20" t="inlineStr">
        <is>
          <t>Total Enterprise Value = PV of Explicit FCFFs + PV of Terminal Value</t>
        </is>
      </c>
      <c r="D100" s="18" t="n"/>
      <c r="E100" s="18" t="n"/>
    </row>
    <row r="101">
      <c r="A101" s="8" t="inlineStr">
        <is>
          <t>(-) Total Carrying Debt ($M)</t>
        </is>
      </c>
      <c r="B101" s="29">
        <f>B12</f>
        <v/>
      </c>
      <c r="C101" s="20" t="inlineStr">
        <is>
          <t>Carrying value of outstanding short &amp; long-term debt</t>
        </is>
      </c>
      <c r="D101" s="18" t="n"/>
      <c r="E101" s="18" t="n"/>
    </row>
    <row r="102">
      <c r="A102" s="8" t="inlineStr">
        <is>
          <t>(+) Cash, Cash Equivalents &amp; ST Investments ($M)</t>
        </is>
      </c>
      <c r="B102" s="29">
        <f>B11</f>
        <v/>
      </c>
      <c r="C102" s="20" t="inlineStr">
        <is>
          <t>Total liquid cash and short-term marketable securities</t>
        </is>
      </c>
      <c r="D102" s="18" t="n"/>
      <c r="E102" s="18" t="n"/>
    </row>
    <row r="103">
      <c r="A103" s="11" t="inlineStr">
        <is>
          <t>Net Debt / (Net Cash) ($M)</t>
        </is>
      </c>
      <c r="B103" s="30">
        <f>B101-B102</f>
        <v/>
      </c>
      <c r="C103" s="20" t="inlineStr">
        <is>
          <t>Net debt subtracted from Enterprise Value</t>
        </is>
      </c>
      <c r="D103" s="18" t="n"/>
      <c r="E103" s="18" t="n"/>
    </row>
    <row r="104">
      <c r="A104" s="35" t="inlineStr">
        <is>
          <t>IMPLIED EQUITY VALUE ($M)</t>
        </is>
      </c>
      <c r="B104" s="32">
        <f>B100-B103</f>
        <v/>
      </c>
      <c r="C104" s="20" t="inlineStr">
        <is>
          <t>Equity Value = Enterprise Value - Net Debt</t>
        </is>
      </c>
      <c r="D104" s="18" t="n"/>
      <c r="E104" s="18" t="n"/>
    </row>
    <row r="105">
      <c r="A105" s="8" t="inlineStr">
        <is>
          <t>Diluted Shares Outstanding (M)</t>
        </is>
      </c>
      <c r="B105" s="36">
        <f>B9</f>
        <v/>
      </c>
      <c r="C105" s="20" t="inlineStr">
        <is>
          <t>Diluted shares outstanding from Form 10-Q / 10-K</t>
        </is>
      </c>
      <c r="D105" s="18" t="n"/>
      <c r="E105" s="18" t="n"/>
    </row>
    <row r="106">
      <c r="A106" s="35" t="inlineStr">
        <is>
          <t>IMPLIED DCF VALUE PER SHARE ($)</t>
        </is>
      </c>
      <c r="B106" s="32">
        <f>B104/B105</f>
        <v/>
      </c>
      <c r="C106" s="20" t="inlineStr">
        <is>
          <t>Intrinsic value per share derived from DCF valuation</t>
        </is>
      </c>
      <c r="D106" s="18" t="n"/>
      <c r="E106" s="18" t="n"/>
    </row>
    <row r="107">
      <c r="A107" s="8" t="inlineStr">
        <is>
          <t>Current Market Share Price ($)</t>
        </is>
      </c>
      <c r="B107" s="29">
        <f>B8</f>
        <v/>
      </c>
      <c r="C107" s="20" t="inlineStr">
        <is>
          <t>Market price as of August 20, 2026</t>
        </is>
      </c>
      <c r="D107" s="18" t="n"/>
      <c r="E107" s="18" t="n"/>
    </row>
    <row r="108">
      <c r="A108" s="35" t="inlineStr">
        <is>
          <t>Implied Upside / (Downside) (%)</t>
        </is>
      </c>
      <c r="B108" s="37">
        <f>(B106/B107)-1</f>
        <v/>
      </c>
      <c r="C108" s="20" t="inlineStr">
        <is>
          <t>Potential return based on intrinsic DCF valuation</t>
        </is>
      </c>
      <c r="D108" s="18" t="n"/>
      <c r="E108" s="18" t="n"/>
    </row>
    <row r="109">
      <c r="A109" s="20" t="inlineStr">
        <is>
          <t>Market Implied EV / FY2027E EBIT Multiple</t>
        </is>
      </c>
      <c r="B109" s="38">
        <f>B100/E71</f>
        <v/>
      </c>
      <c r="C109" s="20" t="inlineStr">
        <is>
          <t>Implied forward valuation multiple on FY2027E EBIT</t>
        </is>
      </c>
      <c r="D109" s="18" t="n"/>
      <c r="E109" s="18" t="n"/>
    </row>
    <row r="110"/>
    <row r="111"/>
    <row r="112">
      <c r="A112" s="6" t="inlineStr">
        <is>
          <t>V. SENSITIVITY ANALYSIS - INSTITUTIONAL 5x5 VALUATION MATRICES</t>
        </is>
      </c>
      <c r="B112" s="7" t="n"/>
      <c r="C112" s="7" t="n"/>
      <c r="D112" s="7" t="n"/>
      <c r="E112" s="7" t="n"/>
      <c r="F112" s="7" t="n"/>
      <c r="G112" s="7" t="n"/>
    </row>
    <row r="113">
      <c r="A113" s="39" t="inlineStr">
        <is>
          <t>Table 1: Implied Share Price ($) — WACC (Discount Rate) vs. Perpetual Terminal Growth Rate</t>
        </is>
      </c>
    </row>
    <row r="114">
      <c r="B114" s="17" t="inlineStr">
        <is>
          <t>WACC \ Terminal g</t>
        </is>
      </c>
      <c r="C114" s="40" t="n">
        <v>0.02</v>
      </c>
      <c r="D114" s="40" t="n">
        <v>0.025</v>
      </c>
      <c r="E114" s="41" t="n">
        <v>0.03</v>
      </c>
      <c r="F114" s="40" t="n">
        <v>0.035</v>
      </c>
      <c r="G114" s="40" t="n">
        <v>0.04</v>
      </c>
    </row>
    <row r="115">
      <c r="B115" s="42" t="n">
        <v>0.105</v>
      </c>
      <c r="C115" s="29">
        <f>((E91/(1+$B115)^E89 + F91/(1+$B115)^F89 + G91/(1+$B115)^G89 + H91/(1+$B115)^H89 + I91/(1+$B115)^I89) + (I91*(1+C$114)/($B115-C$114))/(1+$B115)^I89 - $B$13) / $B$9</f>
        <v/>
      </c>
      <c r="D115" s="29">
        <f>((E91/(1+$B115)^E89 + F91/(1+$B115)^F89 + G91/(1+$B115)^G89 + H91/(1+$B115)^H89 + I91/(1+$B115)^I89) + (I91*(1+D$114)/($B115-D$114))/(1+$B115)^I89 - $B$13) / $B$9</f>
        <v/>
      </c>
      <c r="E115" s="29">
        <f>((E91/(1+$B115)^E89 + F91/(1+$B115)^F89 + G91/(1+$B115)^G89 + H91/(1+$B115)^H89 + I91/(1+$B115)^I89) + (I91*(1+E$114)/($B115-E$114))/(1+$B115)^I89 - $B$13) / $B$9</f>
        <v/>
      </c>
      <c r="F115" s="29">
        <f>((E91/(1+$B115)^E89 + F91/(1+$B115)^F89 + G91/(1+$B115)^G89 + H91/(1+$B115)^H89 + I91/(1+$B115)^I89) + (I91*(1+F$114)/($B115-F$114))/(1+$B115)^I89 - $B$13) / $B$9</f>
        <v/>
      </c>
      <c r="G115" s="29">
        <f>((E91/(1+$B115)^E89 + F91/(1+$B115)^F89 + G91/(1+$B115)^G89 + H91/(1+$B115)^H89 + I91/(1+$B115)^I89) + (I91*(1+G$114)/($B115-G$114))/(1+$B115)^I89 - $B$13) / $B$9</f>
        <v/>
      </c>
    </row>
    <row r="116">
      <c r="B116" s="42" t="n">
        <v>0.11</v>
      </c>
      <c r="C116" s="29">
        <f>((E91/(1+$B116)^E89 + F91/(1+$B116)^F89 + G91/(1+$B116)^G89 + H91/(1+$B116)^H89 + I91/(1+$B116)^I89) + (I91*(1+C$114)/($B116-C$114))/(1+$B116)^I89 - $B$13) / $B$9</f>
        <v/>
      </c>
      <c r="D116" s="29">
        <f>((E91/(1+$B116)^E89 + F91/(1+$B116)^F89 + G91/(1+$B116)^G89 + H91/(1+$B116)^H89 + I91/(1+$B116)^I89) + (I91*(1+D$114)/($B116-D$114))/(1+$B116)^I89 - $B$13) / $B$9</f>
        <v/>
      </c>
      <c r="E116" s="29">
        <f>((E91/(1+$B116)^E89 + F91/(1+$B116)^F89 + G91/(1+$B116)^G89 + H91/(1+$B116)^H89 + I91/(1+$B116)^I89) + (I91*(1+E$114)/($B116-E$114))/(1+$B116)^I89 - $B$13) / $B$9</f>
        <v/>
      </c>
      <c r="F116" s="29">
        <f>((E91/(1+$B116)^E89 + F91/(1+$B116)^F89 + G91/(1+$B116)^G89 + H91/(1+$B116)^H89 + I91/(1+$B116)^I89) + (I91*(1+F$114)/($B116-F$114))/(1+$B116)^I89 - $B$13) / $B$9</f>
        <v/>
      </c>
      <c r="G116" s="29">
        <f>((E91/(1+$B116)^E89 + F91/(1+$B116)^F89 + G91/(1+$B116)^G89 + H91/(1+$B116)^H89 + I91/(1+$B116)^I89) + (I91*(1+G$114)/($B116-G$114))/(1+$B116)^I89 - $B$13) / $B$9</f>
        <v/>
      </c>
    </row>
    <row r="117">
      <c r="B117" s="43" t="n">
        <v>0.115</v>
      </c>
      <c r="C117" s="29">
        <f>((E91/(1+$B117)^E89 + F91/(1+$B117)^F89 + G91/(1+$B117)^G89 + H91/(1+$B117)^H89 + I91/(1+$B117)^I89) + (I91*(1+C$114)/($B117-C$114))/(1+$B117)^I89 - $B$13) / $B$9</f>
        <v/>
      </c>
      <c r="D117" s="29">
        <f>((E91/(1+$B117)^E89 + F91/(1+$B117)^F89 + G91/(1+$B117)^G89 + H91/(1+$B117)^H89 + I91/(1+$B117)^I89) + (I91*(1+D$114)/($B117-D$114))/(1+$B117)^I89 - $B$13) / $B$9</f>
        <v/>
      </c>
      <c r="E117" s="32">
        <f>((E91/(1+$B117)^E89 + F91/(1+$B117)^F89 + G91/(1+$B117)^G89 + H91/(1+$B117)^H89 + I91/(1+$B117)^I89) + (I91*(1+E$114)/($B117-E$114))/(1+$B117)^I89 - $B$13) / $B$9</f>
        <v/>
      </c>
      <c r="F117" s="29">
        <f>((E91/(1+$B117)^E89 + F91/(1+$B117)^F89 + G91/(1+$B117)^G89 + H91/(1+$B117)^H89 + I91/(1+$B117)^I89) + (I91*(1+F$114)/($B117-F$114))/(1+$B117)^I89 - $B$13) / $B$9</f>
        <v/>
      </c>
      <c r="G117" s="29">
        <f>((E91/(1+$B117)^E89 + F91/(1+$B117)^F89 + G91/(1+$B117)^G89 + H91/(1+$B117)^H89 + I91/(1+$B117)^I89) + (I91*(1+G$114)/($B117-G$114))/(1+$B117)^I89 - $B$13) / $B$9</f>
        <v/>
      </c>
    </row>
    <row r="118">
      <c r="B118" s="42" t="n">
        <v>0.12</v>
      </c>
      <c r="C118" s="29">
        <f>((E91/(1+$B118)^E89 + F91/(1+$B118)^F89 + G91/(1+$B118)^G89 + H91/(1+$B118)^H89 + I91/(1+$B118)^I89) + (I91*(1+C$114)/($B118-C$114))/(1+$B118)^I89 - $B$13) / $B$9</f>
        <v/>
      </c>
      <c r="D118" s="29">
        <f>((E91/(1+$B118)^E89 + F91/(1+$B118)^F89 + G91/(1+$B118)^G89 + H91/(1+$B118)^H89 + I91/(1+$B118)^I89) + (I91*(1+D$114)/($B118-D$114))/(1+$B118)^I89 - $B$13) / $B$9</f>
        <v/>
      </c>
      <c r="E118" s="29">
        <f>((E91/(1+$B118)^E89 + F91/(1+$B118)^F89 + G91/(1+$B118)^G89 + H91/(1+$B118)^H89 + I91/(1+$B118)^I89) + (I91*(1+E$114)/($B118-E$114))/(1+$B118)^I89 - $B$13) / $B$9</f>
        <v/>
      </c>
      <c r="F118" s="29">
        <f>((E91/(1+$B118)^E89 + F91/(1+$B118)^F89 + G91/(1+$B118)^G89 + H91/(1+$B118)^H89 + I91/(1+$B118)^I89) + (I91*(1+F$114)/($B118-F$114))/(1+$B118)^I89 - $B$13) / $B$9</f>
        <v/>
      </c>
      <c r="G118" s="29">
        <f>((E91/(1+$B118)^E89 + F91/(1+$B118)^F89 + G91/(1+$B118)^G89 + H91/(1+$B118)^H89 + I91/(1+$B118)^I89) + (I91*(1+G$114)/($B118-G$114))/(1+$B118)^I89 - $B$13) / $B$9</f>
        <v/>
      </c>
    </row>
    <row r="119">
      <c r="B119" s="42" t="n">
        <v>0.125</v>
      </c>
      <c r="C119" s="29">
        <f>((E91/(1+$B119)^E89 + F91/(1+$B119)^F89 + G91/(1+$B119)^G89 + H91/(1+$B119)^H89 + I91/(1+$B119)^I89) + (I91*(1+C$114)/($B119-C$114))/(1+$B119)^I89 - $B$13) / $B$9</f>
        <v/>
      </c>
      <c r="D119" s="29">
        <f>((E91/(1+$B119)^E89 + F91/(1+$B119)^F89 + G91/(1+$B119)^G89 + H91/(1+$B119)^H89 + I91/(1+$B119)^I89) + (I91*(1+D$114)/($B119-D$114))/(1+$B119)^I89 - $B$13) / $B$9</f>
        <v/>
      </c>
      <c r="E119" s="29">
        <f>((E91/(1+$B119)^E89 + F91/(1+$B119)^F89 + G91/(1+$B119)^G89 + H91/(1+$B119)^H89 + I91/(1+$B119)^I89) + (I91*(1+E$114)/($B119-E$114))/(1+$B119)^I89 - $B$13) / $B$9</f>
        <v/>
      </c>
      <c r="F119" s="29">
        <f>((E91/(1+$B119)^E89 + F91/(1+$B119)^F89 + G91/(1+$B119)^G89 + H91/(1+$B119)^H89 + I91/(1+$B119)^I89) + (I91*(1+F$114)/($B119-F$114))/(1+$B119)^I89 - $B$13) / $B$9</f>
        <v/>
      </c>
      <c r="G119" s="29">
        <f>((E91/(1+$B119)^E89 + F91/(1+$B119)^F89 + G91/(1+$B119)^G89 + H91/(1+$B119)^H89 + I91/(1+$B119)^I89) + (I91*(1+G$114)/($B119-G$114))/(1+$B119)^I89 - $B$13) / $B$9</f>
        <v/>
      </c>
    </row>
    <row r="120"/>
    <row r="121"/>
    <row r="122">
      <c r="A122" s="39" t="inlineStr">
        <is>
          <t>Table 2: Implied Share Price ($) — FY2027E Revenue Growth (%) vs. FY2031E EBIT Margin (%)</t>
        </is>
      </c>
    </row>
    <row r="123">
      <c r="B123" s="17" t="inlineStr">
        <is>
          <t>FY27E Rev % \ FY31E EBIT %</t>
        </is>
      </c>
      <c r="C123" s="44" t="n">
        <v>0.29</v>
      </c>
      <c r="D123" s="44" t="n">
        <v>0.31</v>
      </c>
      <c r="E123" s="45" t="n">
        <v>0.33</v>
      </c>
      <c r="F123" s="44" t="n">
        <v>0.35</v>
      </c>
      <c r="G123" s="44" t="n">
        <v>0.37</v>
      </c>
    </row>
    <row r="124">
      <c r="B124" s="46" t="n">
        <v>0.32</v>
      </c>
      <c r="C124" s="29">
        <f>(((E92*($B124/$C$52)) + (F92*($B124/$C$52)) + (G92*($B124/$C$52)) + (H92*($B124/$C$52)) + (I92*($B124/$C$52)*(C$123/$G$54))) + (B98*($B124/$C$52)*(C$123/$G$54)) - $B$13) / $B$9</f>
        <v/>
      </c>
      <c r="D124" s="29">
        <f>(((E92*($B124/$C$52)) + (F92*($B124/$C$52)) + (G92*($B124/$C$52)) + (H92*($B124/$C$52)) + (I92*($B124/$C$52)*(D$123/$G$54))) + (B98*($B124/$C$52)*(D$123/$G$54)) - $B$13) / $B$9</f>
        <v/>
      </c>
      <c r="E124" s="29">
        <f>(((E92*($B124/$C$52)) + (F92*($B124/$C$52)) + (G92*($B124/$C$52)) + (H92*($B124/$C$52)) + (I92*($B124/$C$52)*(E$123/$G$54))) + (B98*($B124/$C$52)*(E$123/$G$54)) - $B$13) / $B$9</f>
        <v/>
      </c>
      <c r="F124" s="29">
        <f>(((E92*($B124/$C$52)) + (F92*($B124/$C$52)) + (G92*($B124/$C$52)) + (H92*($B124/$C$52)) + (I92*($B124/$C$52)*(F$123/$G$54))) + (B98*($B124/$C$52)*(F$123/$G$54)) - $B$13) / $B$9</f>
        <v/>
      </c>
      <c r="G124" s="29">
        <f>(((E92*($B124/$C$52)) + (F92*($B124/$C$52)) + (G92*($B124/$C$52)) + (H92*($B124/$C$52)) + (I92*($B124/$C$52)*(G$123/$G$54))) + (B98*($B124/$C$52)*(G$123/$G$54)) - $B$13) / $B$9</f>
        <v/>
      </c>
    </row>
    <row r="125">
      <c r="B125" s="46" t="n">
        <v>0.36</v>
      </c>
      <c r="C125" s="29">
        <f>(((E92*($B125/$C$52)) + (F92*($B125/$C$52)) + (G92*($B125/$C$52)) + (H92*($B125/$C$52)) + (I92*($B125/$C$52)*(C$123/$G$54))) + (B98*($B125/$C$52)*(C$123/$G$54)) - $B$13) / $B$9</f>
        <v/>
      </c>
      <c r="D125" s="29">
        <f>(((E92*($B125/$C$52)) + (F92*($B125/$C$52)) + (G92*($B125/$C$52)) + (H92*($B125/$C$52)) + (I92*($B125/$C$52)*(D$123/$G$54))) + (B98*($B125/$C$52)*(D$123/$G$54)) - $B$13) / $B$9</f>
        <v/>
      </c>
      <c r="E125" s="29">
        <f>(((E92*($B125/$C$52)) + (F92*($B125/$C$52)) + (G92*($B125/$C$52)) + (H92*($B125/$C$52)) + (I92*($B125/$C$52)*(E$123/$G$54))) + (B98*($B125/$C$52)*(E$123/$G$54)) - $B$13) / $B$9</f>
        <v/>
      </c>
      <c r="F125" s="29">
        <f>(((E92*($B125/$C$52)) + (F92*($B125/$C$52)) + (G92*($B125/$C$52)) + (H92*($B125/$C$52)) + (I92*($B125/$C$52)*(F$123/$G$54))) + (B98*($B125/$C$52)*(F$123/$G$54)) - $B$13) / $B$9</f>
        <v/>
      </c>
      <c r="G125" s="29">
        <f>(((E92*($B125/$C$52)) + (F92*($B125/$C$52)) + (G92*($B125/$C$52)) + (H92*($B125/$C$52)) + (I92*($B125/$C$52)*(G$123/$G$54))) + (B98*($B125/$C$52)*(G$123/$G$54)) - $B$13) / $B$9</f>
        <v/>
      </c>
    </row>
    <row r="126">
      <c r="B126" s="47" t="n">
        <v>0.403</v>
      </c>
      <c r="C126" s="29">
        <f>(((E92*($B126/$C$52)) + (F92*($B126/$C$52)) + (G92*($B126/$C$52)) + (H92*($B126/$C$52)) + (I92*($B126/$C$52)*(C$123/$G$54))) + (B98*($B126/$C$52)*(C$123/$G$54)) - $B$13) / $B$9</f>
        <v/>
      </c>
      <c r="D126" s="29">
        <f>(((E92*($B126/$C$52)) + (F92*($B126/$C$52)) + (G92*($B126/$C$52)) + (H92*($B126/$C$52)) + (I92*($B126/$C$52)*(D$123/$G$54))) + (B98*($B126/$C$52)*(D$123/$G$54)) - $B$13) / $B$9</f>
        <v/>
      </c>
      <c r="E126" s="32">
        <f>(((E92*($B126/$C$52)) + (F92*($B126/$C$52)) + (G92*($B126/$C$52)) + (H92*($B126/$C$52)) + (I92*($B126/$C$52)*(E$123/$G$54))) + (B98*($B126/$C$52)*(E$123/$G$54)) - $B$13) / $B$9</f>
        <v/>
      </c>
      <c r="F126" s="29">
        <f>(((E92*($B126/$C$52)) + (F92*($B126/$C$52)) + (G92*($B126/$C$52)) + (H92*($B126/$C$52)) + (I92*($B126/$C$52)*(F$123/$G$54))) + (B98*($B126/$C$52)*(F$123/$G$54)) - $B$13) / $B$9</f>
        <v/>
      </c>
      <c r="G126" s="29">
        <f>(((E92*($B126/$C$52)) + (F92*($B126/$C$52)) + (G92*($B126/$C$52)) + (H92*($B126/$C$52)) + (I92*($B126/$C$52)*(G$123/$G$54))) + (B98*($B126/$C$52)*(G$123/$G$54)) - $B$13) / $B$9</f>
        <v/>
      </c>
    </row>
    <row r="127">
      <c r="B127" s="46" t="n">
        <v>0.44</v>
      </c>
      <c r="C127" s="29">
        <f>(((E92*($B127/$C$52)) + (F92*($B127/$C$52)) + (G92*($B127/$C$52)) + (H92*($B127/$C$52)) + (I92*($B127/$C$52)*(C$123/$G$54))) + (B98*($B127/$C$52)*(C$123/$G$54)) - $B$13) / $B$9</f>
        <v/>
      </c>
      <c r="D127" s="29">
        <f>(((E92*($B127/$C$52)) + (F92*($B127/$C$52)) + (G92*($B127/$C$52)) + (H92*($B127/$C$52)) + (I92*($B127/$C$52)*(D$123/$G$54))) + (B98*($B127/$C$52)*(D$123/$G$54)) - $B$13) / $B$9</f>
        <v/>
      </c>
      <c r="E127" s="29">
        <f>(((E92*($B127/$C$52)) + (F92*($B127/$C$52)) + (G92*($B127/$C$52)) + (H92*($B127/$C$52)) + (I92*($B127/$C$52)*(E$123/$G$54))) + (B98*($B127/$C$52)*(E$123/$G$54)) - $B$13) / $B$9</f>
        <v/>
      </c>
      <c r="F127" s="29">
        <f>(((E92*($B127/$C$52)) + (F92*($B127/$C$52)) + (G92*($B127/$C$52)) + (H92*($B127/$C$52)) + (I92*($B127/$C$52)*(F$123/$G$54))) + (B98*($B127/$C$52)*(F$123/$G$54)) - $B$13) / $B$9</f>
        <v/>
      </c>
      <c r="G127" s="29">
        <f>(((E92*($B127/$C$52)) + (F92*($B127/$C$52)) + (G92*($B127/$C$52)) + (H92*($B127/$C$52)) + (I92*($B127/$C$52)*(G$123/$G$54))) + (B98*($B127/$C$52)*(G$123/$G$54)) - $B$13) / $B$9</f>
        <v/>
      </c>
    </row>
    <row r="128">
      <c r="B128" s="46" t="n">
        <v>0.48</v>
      </c>
      <c r="C128" s="29">
        <f>(((E92*($B128/$C$52)) + (F92*($B128/$C$52)) + (G92*($B128/$C$52)) + (H92*($B128/$C$52)) + (I92*($B128/$C$52)*(C$123/$G$54))) + (B98*($B128/$C$52)*(C$123/$G$54)) - $B$13) / $B$9</f>
        <v/>
      </c>
      <c r="D128" s="29">
        <f>(((E92*($B128/$C$52)) + (F92*($B128/$C$52)) + (G92*($B128/$C$52)) + (H92*($B128/$C$52)) + (I92*($B128/$C$52)*(D$123/$G$54))) + (B98*($B128/$C$52)*(D$123/$G$54)) - $B$13) / $B$9</f>
        <v/>
      </c>
      <c r="E128" s="29">
        <f>(((E92*($B128/$C$52)) + (F92*($B128/$C$52)) + (G92*($B128/$C$52)) + (H92*($B128/$C$52)) + (I92*($B128/$C$52)*(E$123/$G$54))) + (B98*($B128/$C$52)*(E$123/$G$54)) - $B$13) / $B$9</f>
        <v/>
      </c>
      <c r="F128" s="29">
        <f>(((E92*($B128/$C$52)) + (F92*($B128/$C$52)) + (G92*($B128/$C$52)) + (H92*($B128/$C$52)) + (I92*($B128/$C$52)*(F$123/$G$54))) + (B98*($B128/$C$52)*(F$123/$G$54)) - $B$13) / $B$9</f>
        <v/>
      </c>
      <c r="G128" s="29">
        <f>(((E92*($B128/$C$52)) + (F92*($B128/$C$52)) + (G92*($B128/$C$52)) + (H92*($B128/$C$52)) + (I92*($B128/$C$52)*(G$123/$G$54))) + (B98*($B128/$C$52)*(G$123/$G$54)) - $B$13) / $B$9</f>
        <v/>
      </c>
    </row>
    <row r="129"/>
    <row r="130"/>
    <row r="131"/>
    <row r="132">
      <c r="A132" s="39" t="inlineStr">
        <is>
          <t>Table 3: Implied Share Price ($) — Equity Beta vs. Risk-Free Rate (10-Yr US Treasury Yield)</t>
        </is>
      </c>
    </row>
    <row r="133">
      <c r="B133" s="17" t="inlineStr">
        <is>
          <t>Beta \ 10Y UST Yield</t>
        </is>
      </c>
      <c r="C133" s="40" t="n">
        <v>0.0415</v>
      </c>
      <c r="D133" s="40" t="n">
        <v>0.044</v>
      </c>
      <c r="E133" s="41" t="n">
        <v>0.0465</v>
      </c>
      <c r="F133" s="40" t="n">
        <v>0.049</v>
      </c>
      <c r="G133" s="40" t="n">
        <v>0.0515</v>
      </c>
    </row>
    <row r="134">
      <c r="B134" s="48" t="n">
        <v>1.8</v>
      </c>
      <c r="C134" s="29">
        <f>((E91/(1+(C$133+$B134*0.055-0.0547))^E89 + F91/(1+(C$133+$B134*0.055-0.0547))^F89 + G91/(1+(C$133+$B134*0.055-0.0547))^G89 + H91/(1+(C$133+$B134*0.055-0.0547))^H89 + I91/(1+(C$133+$B134*0.055-0.0547))^I89) + (I91*(1+$H$58)/((C$133+$B134*0.055-0.0547)-$H$58))/(1+(C$133+$B134*0.055-0.0547))^I89 - $B$13) / $B$9</f>
        <v/>
      </c>
      <c r="D134" s="29">
        <f>((E91/(1+(D$133+$B134*0.055-0.0547))^E89 + F91/(1+(D$133+$B134*0.055-0.0547))^F89 + G91/(1+(D$133+$B134*0.055-0.0547))^G89 + H91/(1+(D$133+$B134*0.055-0.0547))^H89 + I91/(1+(D$133+$B134*0.055-0.0547))^I89) + (I91*(1+$H$58)/((D$133+$B134*0.055-0.0547)-$H$58))/(1+(D$133+$B134*0.055-0.0547))^I89 - $B$13) / $B$9</f>
        <v/>
      </c>
      <c r="E134" s="29">
        <f>((E91/(1+(E$133+$B134*0.055-0.0547))^E89 + F91/(1+(E$133+$B134*0.055-0.0547))^F89 + G91/(1+(E$133+$B134*0.055-0.0547))^G89 + H91/(1+(E$133+$B134*0.055-0.0547))^H89 + I91/(1+(E$133+$B134*0.055-0.0547))^I89) + (I91*(1+$H$58)/((E$133+$B134*0.055-0.0547)-$H$58))/(1+(E$133+$B134*0.055-0.0547))^I89 - $B$13) / $B$9</f>
        <v/>
      </c>
      <c r="F134" s="29">
        <f>((E91/(1+(F$133+$B134*0.055-0.0547))^E89 + F91/(1+(F$133+$B134*0.055-0.0547))^F89 + G91/(1+(F$133+$B134*0.055-0.0547))^G89 + H91/(1+(F$133+$B134*0.055-0.0547))^H89 + I91/(1+(F$133+$B134*0.055-0.0547))^I89) + (I91*(1+$H$58)/((F$133+$B134*0.055-0.0547)-$H$58))/(1+(F$133+$B134*0.055-0.0547))^I89 - $B$13) / $B$9</f>
        <v/>
      </c>
      <c r="G134" s="29">
        <f>((E91/(1+(G$133+$B134*0.055-0.0547))^E89 + F91/(1+(G$133+$B134*0.055-0.0547))^F89 + G91/(1+(G$133+$B134*0.055-0.0547))^G89 + H91/(1+(G$133+$B134*0.055-0.0547))^H89 + I91/(1+(G$133+$B134*0.055-0.0547))^I89) + (I91*(1+$H$58)/((G$133+$B134*0.055-0.0547)-$H$58))/(1+(G$133+$B134*0.055-0.0547))^I89 - $B$13) / $B$9</f>
        <v/>
      </c>
    </row>
    <row r="135">
      <c r="B135" s="48" t="n">
        <v>2</v>
      </c>
      <c r="C135" s="29">
        <f>((E91/(1+(C$133+$B135*0.055-0.0547))^E89 + F91/(1+(C$133+$B135*0.055-0.0547))^F89 + G91/(1+(C$133+$B135*0.055-0.0547))^G89 + H91/(1+(C$133+$B135*0.055-0.0547))^H89 + I91/(1+(C$133+$B135*0.055-0.0547))^I89) + (I91*(1+$H$58)/((C$133+$B135*0.055-0.0547)-$H$58))/(1+(C$133+$B135*0.055-0.0547))^I89 - $B$13) / $B$9</f>
        <v/>
      </c>
      <c r="D135" s="29">
        <f>((E91/(1+(D$133+$B135*0.055-0.0547))^E89 + F91/(1+(D$133+$B135*0.055-0.0547))^F89 + G91/(1+(D$133+$B135*0.055-0.0547))^G89 + H91/(1+(D$133+$B135*0.055-0.0547))^H89 + I91/(1+(D$133+$B135*0.055-0.0547))^I89) + (I91*(1+$H$58)/((D$133+$B135*0.055-0.0547)-$H$58))/(1+(D$133+$B135*0.055-0.0547))^I89 - $B$13) / $B$9</f>
        <v/>
      </c>
      <c r="E135" s="29">
        <f>((E91/(1+(E$133+$B135*0.055-0.0547))^E89 + F91/(1+(E$133+$B135*0.055-0.0547))^F89 + G91/(1+(E$133+$B135*0.055-0.0547))^G89 + H91/(1+(E$133+$B135*0.055-0.0547))^H89 + I91/(1+(E$133+$B135*0.055-0.0547))^I89) + (I91*(1+$H$58)/((E$133+$B135*0.055-0.0547)-$H$58))/(1+(E$133+$B135*0.055-0.0547))^I89 - $B$13) / $B$9</f>
        <v/>
      </c>
      <c r="F135" s="29">
        <f>((E91/(1+(F$133+$B135*0.055-0.0547))^E89 + F91/(1+(F$133+$B135*0.055-0.0547))^F89 + G91/(1+(F$133+$B135*0.055-0.0547))^G89 + H91/(1+(F$133+$B135*0.055-0.0547))^H89 + I91/(1+(F$133+$B135*0.055-0.0547))^I89) + (I91*(1+$H$58)/((F$133+$B135*0.055-0.0547)-$H$58))/(1+(F$133+$B135*0.055-0.0547))^I89 - $B$13) / $B$9</f>
        <v/>
      </c>
      <c r="G135" s="29">
        <f>((E91/(1+(G$133+$B135*0.055-0.0547))^E89 + F91/(1+(G$133+$B135*0.055-0.0547))^F89 + G91/(1+(G$133+$B135*0.055-0.0547))^G89 + H91/(1+(G$133+$B135*0.055-0.0547))^H89 + I91/(1+(G$133+$B135*0.055-0.0547))^I89) + (I91*(1+$H$58)/((G$133+$B135*0.055-0.0547)-$H$58))/(1+(G$133+$B135*0.055-0.0547))^I89 - $B$13) / $B$9</f>
        <v/>
      </c>
    </row>
    <row r="136">
      <c r="B136" s="49" t="n">
        <v>2.24</v>
      </c>
      <c r="C136" s="29">
        <f>((E91/(1+(C$133+$B136*0.055-0.0547))^E89 + F91/(1+(C$133+$B136*0.055-0.0547))^F89 + G91/(1+(C$133+$B136*0.055-0.0547))^G89 + H91/(1+(C$133+$B136*0.055-0.0547))^H89 + I91/(1+(C$133+$B136*0.055-0.0547))^I89) + (I91*(1+$H$58)/((C$133+$B136*0.055-0.0547)-$H$58))/(1+(C$133+$B136*0.055-0.0547))^I89 - $B$13) / $B$9</f>
        <v/>
      </c>
      <c r="D136" s="29">
        <f>((E91/(1+(D$133+$B136*0.055-0.0547))^E89 + F91/(1+(D$133+$B136*0.055-0.0547))^F89 + G91/(1+(D$133+$B136*0.055-0.0547))^G89 + H91/(1+(D$133+$B136*0.055-0.0547))^H89 + I91/(1+(D$133+$B136*0.055-0.0547))^I89) + (I91*(1+$H$58)/((D$133+$B136*0.055-0.0547)-$H$58))/(1+(D$133+$B136*0.055-0.0547))^I89 - $B$13) / $B$9</f>
        <v/>
      </c>
      <c r="E136" s="32">
        <f>((E91/(1+(E$133+$B136*0.055-0.0547))^E89 + F91/(1+(E$133+$B136*0.055-0.0547))^F89 + G91/(1+(E$133+$B136*0.055-0.0547))^G89 + H91/(1+(E$133+$B136*0.055-0.0547))^H89 + I91/(1+(E$133+$B136*0.055-0.0547))^I89) + (I91*(1+$H$58)/((E$133+$B136*0.055-0.0547)-$H$58))/(1+(E$133+$B136*0.055-0.0547))^I89 - $B$13) / $B$9</f>
        <v/>
      </c>
      <c r="F136" s="29">
        <f>((E91/(1+(F$133+$B136*0.055-0.0547))^E89 + F91/(1+(F$133+$B136*0.055-0.0547))^F89 + G91/(1+(F$133+$B136*0.055-0.0547))^G89 + H91/(1+(F$133+$B136*0.055-0.0547))^H89 + I91/(1+(F$133+$B136*0.055-0.0547))^I89) + (I91*(1+$H$58)/((F$133+$B136*0.055-0.0547)-$H$58))/(1+(F$133+$B136*0.055-0.0547))^I89 - $B$13) / $B$9</f>
        <v/>
      </c>
      <c r="G136" s="29">
        <f>((E91/(1+(G$133+$B136*0.055-0.0547))^E89 + F91/(1+(G$133+$B136*0.055-0.0547))^F89 + G91/(1+(G$133+$B136*0.055-0.0547))^G89 + H91/(1+(G$133+$B136*0.055-0.0547))^H89 + I91/(1+(G$133+$B136*0.055-0.0547))^I89) + (I91*(1+$H$58)/((G$133+$B136*0.055-0.0547)-$H$58))/(1+(G$133+$B136*0.055-0.0547))^I89 - $B$13) / $B$9</f>
        <v/>
      </c>
    </row>
    <row r="137">
      <c r="B137" s="48" t="n">
        <v>2.45</v>
      </c>
      <c r="C137" s="29">
        <f>((E91/(1+(C$133+$B137*0.055-0.0547))^E89 + F91/(1+(C$133+$B137*0.055-0.0547))^F89 + G91/(1+(C$133+$B137*0.055-0.0547))^G89 + H91/(1+(C$133+$B137*0.055-0.0547))^H89 + I91/(1+(C$133+$B137*0.055-0.0547))^I89) + (I91*(1+$H$58)/((C$133+$B137*0.055-0.0547)-$H$58))/(1+(C$133+$B137*0.055-0.0547))^I89 - $B$13) / $B$9</f>
        <v/>
      </c>
      <c r="D137" s="29">
        <f>((E91/(1+(D$133+$B137*0.055-0.0547))^E89 + F91/(1+(D$133+$B137*0.055-0.0547))^F89 + G91/(1+(D$133+$B137*0.055-0.0547))^G89 + H91/(1+(D$133+$B137*0.055-0.0547))^H89 + I91/(1+(D$133+$B137*0.055-0.0547))^I89) + (I91*(1+$H$58)/((D$133+$B137*0.055-0.0547)-$H$58))/(1+(D$133+$B137*0.055-0.0547))^I89 - $B$13) / $B$9</f>
        <v/>
      </c>
      <c r="E137" s="29">
        <f>((E91/(1+(E$133+$B137*0.055-0.0547))^E89 + F91/(1+(E$133+$B137*0.055-0.0547))^F89 + G91/(1+(E$133+$B137*0.055-0.0547))^G89 + H91/(1+(E$133+$B137*0.055-0.0547))^H89 + I91/(1+(E$133+$B137*0.055-0.0547))^I89) + (I91*(1+$H$58)/((E$133+$B137*0.055-0.0547)-$H$58))/(1+(E$133+$B137*0.055-0.0547))^I89 - $B$13) / $B$9</f>
        <v/>
      </c>
      <c r="F137" s="29">
        <f>((E91/(1+(F$133+$B137*0.055-0.0547))^E89 + F91/(1+(F$133+$B137*0.055-0.0547))^F89 + G91/(1+(F$133+$B137*0.055-0.0547))^G89 + H91/(1+(F$133+$B137*0.055-0.0547))^H89 + I91/(1+(F$133+$B137*0.055-0.0547))^I89) + (I91*(1+$H$58)/((F$133+$B137*0.055-0.0547)-$H$58))/(1+(F$133+$B137*0.055-0.0547))^I89 - $B$13) / $B$9</f>
        <v/>
      </c>
      <c r="G137" s="29">
        <f>((E91/(1+(G$133+$B137*0.055-0.0547))^E89 + F91/(1+(G$133+$B137*0.055-0.0547))^F89 + G91/(1+(G$133+$B137*0.055-0.0547))^G89 + H91/(1+(G$133+$B137*0.055-0.0547))^H89 + I91/(1+(G$133+$B137*0.055-0.0547))^I89) + (I91*(1+$H$58)/((G$133+$B137*0.055-0.0547)-$H$58))/(1+(G$133+$B137*0.055-0.0547))^I89 - $B$13) / $B$9</f>
        <v/>
      </c>
    </row>
    <row r="138">
      <c r="B138" s="48" t="n">
        <v>2.65</v>
      </c>
      <c r="C138" s="29">
        <f>((E91/(1+(C$133+$B138*0.055-0.0547))^E89 + F91/(1+(C$133+$B138*0.055-0.0547))^F89 + G91/(1+(C$133+$B138*0.055-0.0547))^G89 + H91/(1+(C$133+$B138*0.055-0.0547))^H89 + I91/(1+(C$133+$B138*0.055-0.0547))^I89) + (I91*(1+$H$58)/((C$133+$B138*0.055-0.0547)-$H$58))/(1+(C$133+$B138*0.055-0.0547))^I89 - $B$13) / $B$9</f>
        <v/>
      </c>
      <c r="D138" s="29">
        <f>((E91/(1+(D$133+$B138*0.055-0.0547))^E89 + F91/(1+(D$133+$B138*0.055-0.0547))^F89 + G91/(1+(D$133+$B138*0.055-0.0547))^G89 + H91/(1+(D$133+$B138*0.055-0.0547))^H89 + I91/(1+(D$133+$B138*0.055-0.0547))^I89) + (I91*(1+$H$58)/((D$133+$B138*0.055-0.0547)-$H$58))/(1+(D$133+$B138*0.055-0.0547))^I89 - $B$13) / $B$9</f>
        <v/>
      </c>
      <c r="E138" s="29">
        <f>((E91/(1+(E$133+$B138*0.055-0.0547))^E89 + F91/(1+(E$133+$B138*0.055-0.0547))^F89 + G91/(1+(E$133+$B138*0.055-0.0547))^G89 + H91/(1+(E$133+$B138*0.055-0.0547))^H89 + I91/(1+(E$133+$B138*0.055-0.0547))^I89) + (I91*(1+$H$58)/((E$133+$B138*0.055-0.0547)-$H$58))/(1+(E$133+$B138*0.055-0.0547))^I89 - $B$13) / $B$9</f>
        <v/>
      </c>
      <c r="F138" s="29">
        <f>((E91/(1+(F$133+$B138*0.055-0.0547))^E89 + F91/(1+(F$133+$B138*0.055-0.0547))^F89 + G91/(1+(F$133+$B138*0.055-0.0547))^G89 + H91/(1+(F$133+$B138*0.055-0.0547))^H89 + I91/(1+(F$133+$B138*0.055-0.0547))^I89) + (I91*(1+$H$58)/((F$133+$B138*0.055-0.0547)-$H$58))/(1+(F$133+$B138*0.055-0.0547))^I89 - $B$13) / $B$9</f>
        <v/>
      </c>
      <c r="G138" s="29">
        <f>((E91/(1+(G$133+$B138*0.055-0.0547))^E89 + F91/(1+(G$133+$B138*0.055-0.0547))^F89 + G91/(1+(G$133+$B138*0.055-0.0547))^G89 + H91/(1+(G$133+$B138*0.055-0.0547))^H89 + I91/(1+(G$133+$B138*0.055-0.0547))^I89) + (I91*(1+$H$58)/((G$133+$B138*0.055-0.0547)-$H$58))/(1+(G$133+$B138*0.055-0.0547))^I89 - $B$13) / $B$9</f>
        <v/>
      </c>
    </row>
  </sheetData>
  <mergeCells count="30">
    <mergeCell ref="A7:I7"/>
    <mergeCell ref="C99:E99"/>
    <mergeCell ref="A122:G122"/>
    <mergeCell ref="A87:I87"/>
    <mergeCell ref="A94:E94"/>
    <mergeCell ref="C105:E105"/>
    <mergeCell ref="A50:I50"/>
    <mergeCell ref="A112:G112"/>
    <mergeCell ref="C95:E95"/>
    <mergeCell ref="A17:I17"/>
    <mergeCell ref="C106:E106"/>
    <mergeCell ref="C109:E109"/>
    <mergeCell ref="A132:G132"/>
    <mergeCell ref="A28:I28"/>
    <mergeCell ref="C102:E102"/>
    <mergeCell ref="C96:E96"/>
    <mergeCell ref="C101:E101"/>
    <mergeCell ref="A77:I77"/>
    <mergeCell ref="A39:I39"/>
    <mergeCell ref="C108:E108"/>
    <mergeCell ref="C98:E98"/>
    <mergeCell ref="C104:E104"/>
    <mergeCell ref="C107:E107"/>
    <mergeCell ref="C97:E97"/>
    <mergeCell ref="B5:F5"/>
    <mergeCell ref="A61:I61"/>
    <mergeCell ref="A113:G113"/>
    <mergeCell ref="C100:E100"/>
    <mergeCell ref="C103:E103"/>
    <mergeCell ref="A16:I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7" customWidth="1" min="3" max="3"/>
    <col width="20" customWidth="1" min="4" max="4"/>
    <col width="48" customWidth="1" min="5" max="5"/>
  </cols>
  <sheetData>
    <row r="1">
      <c r="A1" s="1" t="inlineStr">
        <is>
          <t>Marvell Technology, Inc. (NASDAQ: MRVL)</t>
        </is>
      </c>
    </row>
    <row r="2">
      <c r="A2" s="2" t="inlineStr">
        <is>
          <t>Weighted Average Cost of Capital (WACC) Schedule | CAPM Methodology &amp; Capital Structure</t>
        </is>
      </c>
    </row>
    <row r="3"/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22" t="n">
        <v>0.0465</v>
      </c>
    </row>
    <row r="6">
      <c r="A6" s="8" t="inlineStr">
        <is>
          <t>Equity Beta (5-Year Monthly vs S&amp;P 500)</t>
        </is>
      </c>
      <c r="B6" s="50" t="n">
        <v>2.24</v>
      </c>
    </row>
    <row r="7">
      <c r="A7" s="8" t="inlineStr">
        <is>
          <t>Market Equity Risk Premium (ERP)</t>
        </is>
      </c>
      <c r="B7" s="22" t="n">
        <v>0.055</v>
      </c>
    </row>
    <row r="8">
      <c r="A8" s="11" t="inlineStr">
        <is>
          <t>Cost of Equity (Ke = Rf + Beta * ERP)</t>
        </is>
      </c>
      <c r="B8" s="51">
        <f>B5+B6*B7</f>
        <v/>
      </c>
    </row>
    <row r="9"/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Credit Rating</t>
        </is>
      </c>
      <c r="B11" s="52" t="inlineStr">
        <is>
          <t>Baa2 / BBB</t>
        </is>
      </c>
    </row>
    <row r="12">
      <c r="A12" s="8" t="inlineStr">
        <is>
          <t>Pre-Tax Cost of Debt (Kd)</t>
        </is>
      </c>
      <c r="B12" s="22" t="n">
        <v>0.052</v>
      </c>
    </row>
    <row r="13">
      <c r="A13" s="8" t="inlineStr">
        <is>
          <t>Effective Corporate Tax Rate (t)</t>
        </is>
      </c>
      <c r="B13" s="13" t="n">
        <v>0.21</v>
      </c>
    </row>
    <row r="14">
      <c r="A14" s="11" t="inlineStr">
        <is>
          <t>After-Tax Cost of Debt (Kd * (1 - t))</t>
        </is>
      </c>
      <c r="B14" s="53">
        <f>B12*(1-B13)</f>
        <v/>
      </c>
    </row>
    <row r="15">
      <c r="A15" s="8" t="inlineStr">
        <is>
          <t>Current Share Price ($)</t>
        </is>
      </c>
      <c r="B15" s="54">
        <f>'DCF Valuation'!B8</f>
        <v/>
      </c>
    </row>
    <row r="16">
      <c r="A16" s="8" t="inlineStr">
        <is>
          <t>Diluted Shares Outstanding (M)</t>
        </is>
      </c>
      <c r="B16" s="55">
        <f>'DCF Valuation'!B9</f>
        <v/>
      </c>
    </row>
    <row r="17">
      <c r="A17" s="11" t="inlineStr">
        <is>
          <t>Market Capitalization ($M)</t>
        </is>
      </c>
      <c r="B17" s="12">
        <f>B15*B16</f>
        <v/>
      </c>
    </row>
    <row r="18">
      <c r="A18" s="8" t="inlineStr">
        <is>
          <t>Total Debt (Short-Term + Long-Term Debt) ($M)</t>
        </is>
      </c>
      <c r="B18" s="9" t="n">
        <v>4961.3</v>
      </c>
    </row>
    <row r="19">
      <c r="A19" s="8" t="inlineStr">
        <is>
          <t>Cash, Cash Equivalents &amp; ST Investments ($M)</t>
        </is>
      </c>
      <c r="B19" s="9" t="n">
        <v>3843.6</v>
      </c>
    </row>
    <row r="20">
      <c r="A20" s="11" t="inlineStr">
        <is>
          <t>Net Debt / (Net Cash) ($M)</t>
        </is>
      </c>
      <c r="B20" s="12">
        <f>B18-B19</f>
        <v/>
      </c>
    </row>
    <row r="21">
      <c r="A21" s="11" t="inlineStr">
        <is>
          <t>Enterprise Value ($M)</t>
        </is>
      </c>
      <c r="B21" s="12">
        <f>B17+B20</f>
        <v/>
      </c>
    </row>
    <row r="22"/>
    <row r="23">
      <c r="A23" s="6" t="inlineStr">
        <is>
          <t>III. WEIGHTED AVERAGE COST OF CAPITAL (WACC)</t>
        </is>
      </c>
      <c r="B23" s="7" t="n"/>
      <c r="C23" s="7" t="n"/>
      <c r="D23" s="7" t="n"/>
      <c r="E23" s="7" t="n"/>
    </row>
    <row r="24">
      <c r="A24" s="16" t="inlineStr">
        <is>
          <t>Capital Component</t>
        </is>
      </c>
      <c r="B24" s="17" t="inlineStr">
        <is>
          <t>Weight (% EV)</t>
        </is>
      </c>
      <c r="C24" s="17" t="inlineStr">
        <is>
          <t>Component Cost</t>
        </is>
      </c>
      <c r="D24" s="17" t="inlineStr">
        <is>
          <t>WACC Contribution</t>
        </is>
      </c>
      <c r="E24" s="16" t="inlineStr">
        <is>
          <t>Analytical Rationale</t>
        </is>
      </c>
    </row>
    <row r="25">
      <c r="A25" s="8" t="inlineStr">
        <is>
          <t>Common Equity</t>
        </is>
      </c>
      <c r="B25" s="56">
        <f>B17/B21</f>
        <v/>
      </c>
      <c r="C25" s="53">
        <f>B8</f>
        <v/>
      </c>
      <c r="D25" s="53">
        <f>B25*C25</f>
        <v/>
      </c>
      <c r="E25" s="20" t="inlineStr">
        <is>
          <t>Pure equity market weight (~99.5% of total capital structure)</t>
        </is>
      </c>
    </row>
    <row r="26">
      <c r="A26" s="8" t="inlineStr">
        <is>
          <t>Net Debt</t>
        </is>
      </c>
      <c r="B26" s="56">
        <f>B20/B21</f>
        <v/>
      </c>
      <c r="C26" s="53">
        <f>B14</f>
        <v/>
      </c>
      <c r="D26" s="53">
        <f>B26*C26</f>
        <v/>
      </c>
      <c r="E26" s="20" t="inlineStr">
        <is>
          <t>Net debt weight (~0.5% of capital structure)</t>
        </is>
      </c>
    </row>
    <row r="27">
      <c r="A27" s="57" t="inlineStr">
        <is>
          <t>Weighted Average Cost of Capital (WACC)</t>
        </is>
      </c>
      <c r="B27" s="58">
        <f>SUM(B25:B26)</f>
        <v/>
      </c>
      <c r="C27" s="59" t="inlineStr">
        <is>
          <t>-</t>
        </is>
      </c>
      <c r="D27" s="60">
        <f>SUM(D25:D26)</f>
        <v/>
      </c>
      <c r="E27" s="61" t="inlineStr">
        <is>
          <t>Baseline market-implied discount rate (Normalized WACC benchmark = 11.50%)</t>
        </is>
      </c>
    </row>
  </sheetData>
  <mergeCells count="3">
    <mergeCell ref="A10:E10"/>
    <mergeCell ref="A4:E4"/>
    <mergeCell ref="A23:E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2026-08-20T03:57:41Z</dcterms:created>
  <dcterms:modified xmlns:dcterms="http://purl.org/dc/terms/" xmlns:xsi="http://www.w3.org/2001/XMLSchema-instance" xsi:type="dcterms:W3CDTF">2026-08-20T03:57:41Z</dcterms:modified>
</cp:coreProperties>
</file>