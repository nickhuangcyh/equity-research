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  <sheet xmlns:r="http://schemas.openxmlformats.org/officeDocument/2006/relationships" name="WACC Bui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0"/>
    <numFmt numFmtId="166" formatCode="$#,##0.00;($#,##0.00);-"/>
    <numFmt numFmtId="167" formatCode="0.0"/>
    <numFmt numFmtId="168" formatCode="0.0000"/>
    <numFmt numFmtId="169" formatCode="+0.0%;-0.0%;0.0%"/>
    <numFmt numFmtId="170" formatCode="0.0x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00"/>
      <sz val="10"/>
    </font>
    <font>
      <name val="Calibri"/>
      <color rgb="00008000"/>
      <sz val="10"/>
    </font>
    <font>
      <name val="Calibri"/>
      <b val="1"/>
      <color rgb="001F4E79"/>
      <sz val="11"/>
    </font>
    <font>
      <name val="Calibri"/>
      <b val="1"/>
      <color rgb="00008000"/>
      <sz val="10"/>
    </font>
    <font>
      <name val="Calibri"/>
      <b val="1"/>
      <color rgb="001F4E79"/>
      <sz val="10"/>
    </font>
    <font>
      <name val="Calibri"/>
      <b val="1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2" pivotButton="0" quotePrefix="0" xfId="0"/>
    <xf numFmtId="165" fontId="5" fillId="3" borderId="2" applyAlignment="1" pivotButton="0" quotePrefix="0" xfId="0">
      <alignment horizontal="right" vertical="center"/>
    </xf>
    <xf numFmtId="4" fontId="5" fillId="3" borderId="2" applyAlignment="1" pivotButton="0" quotePrefix="0" xfId="0">
      <alignment horizontal="right" vertical="center"/>
    </xf>
    <xf numFmtId="0" fontId="6" fillId="0" borderId="2" pivotButton="0" quotePrefix="0" xfId="0"/>
    <xf numFmtId="165" fontId="6" fillId="0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10" fontId="9" fillId="0" borderId="2" applyAlignment="1" pivotButton="0" quotePrefix="0" xfId="0">
      <alignment horizontal="right" vertical="center"/>
    </xf>
    <xf numFmtId="2" fontId="9" fillId="0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center"/>
    </xf>
    <xf numFmtId="0" fontId="10" fillId="4" borderId="3" pivotButton="0" quotePrefix="0" xfId="0"/>
    <xf numFmtId="0" fontId="0" fillId="4" borderId="3" pivotButton="0" quotePrefix="0" xfId="0"/>
    <xf numFmtId="0" fontId="0" fillId="0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0" fontId="10" fillId="5" borderId="3" pivotButton="0" quotePrefix="0" xfId="0"/>
    <xf numFmtId="0" fontId="0" fillId="5" borderId="3" pivotButton="0" quotePrefix="0" xfId="0"/>
    <xf numFmtId="164" fontId="6" fillId="0" borderId="2" applyAlignment="1" pivotButton="0" quotePrefix="0" xfId="0">
      <alignment horizontal="right" vertical="center"/>
    </xf>
    <xf numFmtId="0" fontId="6" fillId="0" borderId="4" pivotButton="0" quotePrefix="0" xfId="0"/>
    <xf numFmtId="166" fontId="11" fillId="3" borderId="4" applyAlignment="1" pivotButton="0" quotePrefix="0" xfId="0">
      <alignment horizontal="right" vertical="center"/>
    </xf>
    <xf numFmtId="166" fontId="6" fillId="0" borderId="4" applyAlignment="1" pivotButton="0" quotePrefix="0" xfId="0">
      <alignment horizontal="right" vertical="center"/>
    </xf>
    <xf numFmtId="164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right" vertical="center"/>
    </xf>
    <xf numFmtId="166" fontId="11" fillId="3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166" fontId="5" fillId="3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6" fontId="6" fillId="5" borderId="4" applyAlignment="1" pivotButton="0" quotePrefix="0" xfId="0">
      <alignment horizontal="right" vertical="center"/>
    </xf>
    <xf numFmtId="167" fontId="4" fillId="0" borderId="2" applyAlignment="1" pivotButton="0" quotePrefix="0" xfId="0">
      <alignment horizontal="right" vertical="center"/>
    </xf>
    <xf numFmtId="168" fontId="4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6" fillId="5" borderId="4" pivotButton="0" quotePrefix="0" xfId="0"/>
    <xf numFmtId="165" fontId="6" fillId="5" borderId="4" applyAlignment="1" pivotButton="0" quotePrefix="0" xfId="0">
      <alignment horizontal="right" vertical="center"/>
    </xf>
    <xf numFmtId="170" fontId="6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169" fontId="6" fillId="5" borderId="4" applyAlignment="1" pivotButton="0" quotePrefix="0" xfId="0">
      <alignment horizontal="right" vertical="center"/>
    </xf>
    <xf numFmtId="10" fontId="6" fillId="4" borderId="3" applyAlignment="1" pivotButton="0" quotePrefix="0" xfId="0">
      <alignment horizontal="center" vertical="center"/>
    </xf>
    <xf numFmtId="10" fontId="6" fillId="5" borderId="3" applyAlignment="1" pivotButton="0" quotePrefix="0" xfId="0">
      <alignment horizontal="center" vertical="center"/>
    </xf>
    <xf numFmtId="10" fontId="6" fillId="4" borderId="2" applyAlignment="1" pivotButton="0" quotePrefix="0" xfId="0">
      <alignment horizontal="right" vertical="center"/>
    </xf>
    <xf numFmtId="10" fontId="6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right" vertical="center"/>
    </xf>
    <xf numFmtId="164" fontId="6" fillId="4" borderId="3" applyAlignment="1" pivotButton="0" quotePrefix="0" xfId="0">
      <alignment horizontal="center" vertical="center"/>
    </xf>
    <xf numFmtId="164" fontId="6" fillId="5" borderId="3" applyAlignment="1" pivotButton="0" quotePrefix="0" xfId="0">
      <alignment horizontal="center" vertical="center"/>
    </xf>
    <xf numFmtId="9" fontId="6" fillId="4" borderId="2" applyAlignment="1" pivotButton="0" quotePrefix="0" xfId="0">
      <alignment horizontal="right" vertical="center"/>
    </xf>
    <xf numFmtId="9" fontId="6" fillId="5" borderId="2" applyAlignment="1" pivotButton="0" quotePrefix="0" xfId="0">
      <alignment horizontal="right" vertical="center"/>
    </xf>
    <xf numFmtId="2" fontId="6" fillId="4" borderId="2" applyAlignment="1" pivotButton="0" quotePrefix="0" xfId="0">
      <alignment horizontal="right" vertical="center"/>
    </xf>
    <xf numFmtId="2" fontId="6" fillId="5" borderId="2" applyAlignment="1" pivotButton="0" quotePrefix="0" xfId="0">
      <alignment horizontal="right" vertical="center"/>
    </xf>
    <xf numFmtId="10" fontId="5" fillId="3" borderId="2" applyAlignment="1" pivotButton="0" quotePrefix="0" xfId="0">
      <alignment horizontal="right" vertical="center"/>
    </xf>
    <xf numFmtId="2" fontId="5" fillId="3" borderId="2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165" fontId="6" fillId="0" borderId="4" applyAlignment="1" pivotButton="0" quotePrefix="0" xfId="0">
      <alignment horizontal="right" vertical="center"/>
    </xf>
    <xf numFmtId="164" fontId="6" fillId="0" borderId="4" applyAlignment="1" pivotButton="0" quotePrefix="0" xfId="0">
      <alignment horizontal="right" vertical="center"/>
    </xf>
    <xf numFmtId="49" fontId="6" fillId="0" borderId="4" applyAlignment="1" pivotButton="0" quotePrefix="0" xfId="0">
      <alignment horizontal="right" vertical="center"/>
    </xf>
    <xf numFmtId="10" fontId="6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DCF Model Builder</author>
    <author>MSFT 10-K / Market Data</author>
  </authors>
  <commentList>
    <comment ref="B4" authorId="0" shapeId="0">
      <text>
        <t>Case Selector: 1 = Bear Case (AI Digestion / Slowdown), 2 = Base Case (Consensus AI Cloud Scaling), 3 = Bull Case (AI Supercycle)</t>
      </text>
    </comment>
    <comment ref="B7" authorId="1" shapeId="0">
      <text>
        <t>Market close price as of August 19, 2026</t>
      </text>
    </comment>
    <comment ref="B8" authorId="1" shapeId="0">
      <text>
        <t>SEC Form 10-K FY2026 Diluted share count as of June 30, 2026 (7,435M shares)</t>
      </text>
    </comment>
    <comment ref="B10" authorId="1" shapeId="0">
      <text>
        <t>SEC Form 10-K Balance Sheet as of June 30, 2026 ($20,935M cash + $55,908M short-term investments)</t>
      </text>
    </comment>
    <comment ref="B11" authorId="1" shapeId="0">
      <text>
        <t>SEC Form 10-K Balance Sheet as of June 30, 2026 (Long-term debt + short-term debt)</t>
      </text>
    </comment>
    <comment ref="B14" authorId="1" shapeId="0">
      <text>
        <t>Effective corporate tax rate from SEC Form 10-K FY2026</t>
      </text>
    </comment>
    <comment ref="B53" authorId="0" shapeId="0">
      <text>
        <t>Source: SEC Form 10-K FY2022-FY2026 Historical Financials</t>
      </text>
    </comment>
    <comment ref="C53" authorId="0" shapeId="0">
      <text>
        <t>Source: SEC Form 10-K FY2022-FY2026 Historical Financials</t>
      </text>
    </comment>
    <comment ref="D53" authorId="0" shapeId="0">
      <text>
        <t>Source: SEC Form 10-K FY2022-FY2026 Historical Financials</t>
      </text>
    </comment>
    <comment ref="E53" authorId="0" shapeId="0">
      <text>
        <t>Source: SEC Form 10-K FY2022-FY2026 Historical Financials</t>
      </text>
    </comment>
    <comment ref="F53" authorId="0" shapeId="0">
      <text>
        <t>Source: SEC Form 10-K FY2022-FY2026 Historical Financials</t>
      </text>
    </comment>
    <comment ref="B55" authorId="0" shapeId="0">
      <text>
        <t>Source: SEC Form 10-K FY2022-FY2026 Historical Financials</t>
      </text>
    </comment>
    <comment ref="C55" authorId="0" shapeId="0">
      <text>
        <t>Source: SEC Form 10-K FY2022-FY2026 Historical Financials</t>
      </text>
    </comment>
    <comment ref="D55" authorId="0" shapeId="0">
      <text>
        <t>Source: SEC Form 10-K FY2022-FY2026 Historical Financials</t>
      </text>
    </comment>
    <comment ref="E55" authorId="0" shapeId="0">
      <text>
        <t>Source: SEC Form 10-K FY2022-FY2026 Historical Financials</t>
      </text>
    </comment>
    <comment ref="F55" authorId="0" shapeId="0">
      <text>
        <t>Source: SEC Form 10-K FY2022-FY2026 Historical Financials</t>
      </text>
    </comment>
    <comment ref="B57" authorId="0" shapeId="0">
      <text>
        <t>Source: SEC Form 10-K FY2022-FY2026 Historical Financials</t>
      </text>
    </comment>
    <comment ref="C57" authorId="0" shapeId="0">
      <text>
        <t>Source: SEC Form 10-K FY2022-FY2026 Historical Financials</t>
      </text>
    </comment>
    <comment ref="D57" authorId="0" shapeId="0">
      <text>
        <t>Source: SEC Form 10-K FY2022-FY2026 Historical Financials</t>
      </text>
    </comment>
    <comment ref="E57" authorId="0" shapeId="0">
      <text>
        <t>Source: SEC Form 10-K FY2022-FY2026 Historical Financials</t>
      </text>
    </comment>
    <comment ref="F57" authorId="0" shapeId="0">
      <text>
        <t>Source: SEC Form 10-K FY2022-FY2026 Historical Financials</t>
      </text>
    </comment>
    <comment ref="B58" authorId="0" shapeId="0">
      <text>
        <t>Source: SEC Form 10-K FY2022-FY2026 Historical Financials</t>
      </text>
    </comment>
    <comment ref="C58" authorId="0" shapeId="0">
      <text>
        <t>Source: SEC Form 10-K FY2022-FY2026 Historical Financials</t>
      </text>
    </comment>
    <comment ref="D58" authorId="0" shapeId="0">
      <text>
        <t>Source: SEC Form 10-K FY2022-FY2026 Historical Financials</t>
      </text>
    </comment>
    <comment ref="E58" authorId="0" shapeId="0">
      <text>
        <t>Source: SEC Form 10-K FY2022-FY2026 Historical Financials</t>
      </text>
    </comment>
    <comment ref="F58" authorId="0" shapeId="0">
      <text>
        <t>Source: SEC Form 10-K FY2022-FY2026 Historical Financials</t>
      </text>
    </comment>
    <comment ref="B59" authorId="0" shapeId="0">
      <text>
        <t>Source: SEC Form 10-K FY2022-FY2026 Historical Financials</t>
      </text>
    </comment>
    <comment ref="C59" authorId="0" shapeId="0">
      <text>
        <t>Source: SEC Form 10-K FY2022-FY2026 Historical Financials</t>
      </text>
    </comment>
    <comment ref="D59" authorId="0" shapeId="0">
      <text>
        <t>Source: SEC Form 10-K FY2022-FY2026 Historical Financials</t>
      </text>
    </comment>
    <comment ref="E59" authorId="0" shapeId="0">
      <text>
        <t>Source: SEC Form 10-K FY2022-FY2026 Historical Financials</t>
      </text>
    </comment>
    <comment ref="F59" authorId="0" shapeId="0">
      <text>
        <t>Source: SEC Form 10-K FY2022-FY2026 Historical Financials</t>
      </text>
    </comment>
    <comment ref="B60" authorId="0" shapeId="0">
      <text>
        <t>Source: SEC Form 10-K FY2022-FY2026 Historical Financials</t>
      </text>
    </comment>
    <comment ref="C60" authorId="0" shapeId="0">
      <text>
        <t>Source: SEC Form 10-K FY2022-FY2026 Historical Financials</t>
      </text>
    </comment>
    <comment ref="D60" authorId="0" shapeId="0">
      <text>
        <t>Source: SEC Form 10-K FY2022-FY2026 Historical Financials</t>
      </text>
    </comment>
    <comment ref="E60" authorId="0" shapeId="0">
      <text>
        <t>Source: SEC Form 10-K FY2022-FY2026 Historical Financials</t>
      </text>
    </comment>
    <comment ref="F60" authorId="0" shapeId="0">
      <text>
        <t>Source: SEC Form 10-K FY2022-FY2026 Historical Financials</t>
      </text>
    </comment>
    <comment ref="B62" authorId="0" shapeId="0">
      <text>
        <t>Source: SEC Form 10-K FY2022-FY2026 Historical Financials</t>
      </text>
    </comment>
    <comment ref="C62" authorId="0" shapeId="0">
      <text>
        <t>Source: SEC Form 10-K FY2022-FY2026 Historical Financials</t>
      </text>
    </comment>
    <comment ref="D62" authorId="0" shapeId="0">
      <text>
        <t>Source: SEC Form 10-K FY2022-FY2026 Historical Financials</t>
      </text>
    </comment>
    <comment ref="E62" authorId="0" shapeId="0">
      <text>
        <t>Source: SEC Form 10-K FY2022-FY2026 Historical Financials</t>
      </text>
    </comment>
    <comment ref="F62" authorId="0" shapeId="0">
      <text>
        <t>Source: SEC Form 10-K FY2022-FY2026 Historical Financials</t>
      </text>
    </comment>
    <comment ref="B68" authorId="0" shapeId="0">
      <text>
        <t>Source: SEC Form 10-K FY2022-FY2026 Cash Flows Statements</t>
      </text>
    </comment>
    <comment ref="C68" authorId="0" shapeId="0">
      <text>
        <t>Source: SEC Form 10-K FY2022-FY2026 Cash Flows Statements</t>
      </text>
    </comment>
    <comment ref="D68" authorId="0" shapeId="0">
      <text>
        <t>Source: SEC Form 10-K FY2022-FY2026 Cash Flows Statements</t>
      </text>
    </comment>
    <comment ref="E68" authorId="0" shapeId="0">
      <text>
        <t>Source: SEC Form 10-K FY2022-FY2026 Cash Flows Statements</t>
      </text>
    </comment>
    <comment ref="F68" authorId="0" shapeId="0">
      <text>
        <t>Source: SEC Form 10-K FY2022-FY2026 Cash Flows Statements</t>
      </text>
    </comment>
    <comment ref="B69" authorId="0" shapeId="0">
      <text>
        <t>Source: SEC Form 10-K FY2022-FY2026 Cash Flows Statements</t>
      </text>
    </comment>
    <comment ref="C69" authorId="0" shapeId="0">
      <text>
        <t>Source: SEC Form 10-K FY2022-FY2026 Cash Flows Statements</t>
      </text>
    </comment>
    <comment ref="D69" authorId="0" shapeId="0">
      <text>
        <t>Source: SEC Form 10-K FY2022-FY2026 Cash Flows Statements</t>
      </text>
    </comment>
    <comment ref="E69" authorId="0" shapeId="0">
      <text>
        <t>Source: SEC Form 10-K FY2022-FY2026 Cash Flows Statements</t>
      </text>
    </comment>
    <comment ref="F69" authorId="0" shapeId="0">
      <text>
        <t>Source: SEC Form 10-K FY2022-FY2026 Cash Flows Statements</t>
      </text>
    </comment>
    <comment ref="B70" authorId="0" shapeId="0">
      <text>
        <t>Source: SEC Form 10-K FY2022-FY2026 Cash Flows Statements</t>
      </text>
    </comment>
    <comment ref="C70" authorId="0" shapeId="0">
      <text>
        <t>Source: SEC Form 10-K FY2022-FY2026 Cash Flows Statements</t>
      </text>
    </comment>
    <comment ref="D70" authorId="0" shapeId="0">
      <text>
        <t>Source: SEC Form 10-K FY2022-FY2026 Cash Flows Statements</t>
      </text>
    </comment>
    <comment ref="E70" authorId="0" shapeId="0">
      <text>
        <t>Source: SEC Form 10-K FY2022-FY2026 Cash Flows Statements</t>
      </text>
    </comment>
    <comment ref="F70" authorId="0" shapeId="0">
      <text>
        <t>Source: SEC Form 10-K FY2022-FY2026 Cash Flows Statements</t>
      </text>
    </comment>
  </commentList>
</comments>
</file>

<file path=xl/comments/comment2.xml><?xml version="1.0" encoding="utf-8"?>
<comments xmlns="http://schemas.openxmlformats.org/spreadsheetml/2006/main">
  <authors>
    <author>DCF Model Builder</author>
  </authors>
  <commentList>
    <comment ref="B5" authorId="0" shapeId="0">
      <text>
        <t>US 10-Year Treasury Yield benchmark as of August 19, 2026</t>
      </text>
    </comment>
    <comment ref="B6" authorId="0" shapeId="0">
      <text>
        <t>5-Year Monthly Equity Beta vs S&amp;P 500 index (Institutional Market Benchmark)</t>
      </text>
    </comment>
    <comment ref="B7" authorId="0" shapeId="0">
      <text>
        <t>Standard institutional equity risk premium (5.50%)</t>
      </text>
    </comment>
    <comment ref="B11" authorId="0" shapeId="0">
      <text>
        <t>Weighted average yield on senior unsecured debt; AAA credit rating (~20 bps spread over 10Y UST)</t>
      </text>
    </comment>
    <comment ref="B12" authorId="0" shapeId="0">
      <text>
        <t>Effective corporate income tax rate per SEC Form 10-K FY2026</t>
      </text>
    </comment>
    <comment ref="B17" authorId="0" shapeId="0">
      <text>
        <t>Total short-term and long-term debt per SEC Form 10-K ended June 30, 2026</t>
      </text>
    </comment>
    <comment ref="B18" authorId="0" shapeId="0">
      <text>
        <t>Cash, cash equivalents &amp; short-term investments as of June 30, 2026 Form 10-K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Microsoft Corporation (NASDAQ: MSFT)</t>
        </is>
      </c>
    </row>
    <row r="2">
      <c r="A2" s="2" t="inlineStr">
        <is>
          <t>Institutional DCF Valuation Model | Report Date: August 19, 2026 | Financial Source: SEC Form 10-K (FY2022-FY2026)</t>
        </is>
      </c>
    </row>
    <row r="4">
      <c r="A4" s="3" t="inlineStr">
        <is>
          <t>Active Scenario Selector:</t>
        </is>
      </c>
      <c r="B4" s="4" t="n">
        <v>2</v>
      </c>
      <c r="C4" s="5">
        <f>IF(B4=1,"[1] BEAR CASE (AI Digestion / Cloud Slowdown)",IF(B4=2,"[2] BASE CASE (Consensus AI Cloud Scaling &amp; Copilot Monetization)","[3] BULL CASE (AI Supercycle &amp; Azure Platform Dominance)"))</f>
        <v/>
      </c>
    </row>
    <row r="6">
      <c r="A6" s="6" t="inlineStr">
        <is>
          <t>I. MARKET DATA &amp; CAPITAL STRUCTURE INPUTS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8" t="inlineStr">
        <is>
          <t>Current Stock Price ($)</t>
        </is>
      </c>
      <c r="B7" s="9" t="n">
        <v>481.59</v>
      </c>
    </row>
    <row r="8">
      <c r="A8" s="8" t="inlineStr">
        <is>
          <t>Diluted Shares Outstanding (M)</t>
        </is>
      </c>
      <c r="B8" s="10" t="n">
        <v>7435</v>
      </c>
    </row>
    <row r="9">
      <c r="A9" s="11" t="inlineStr">
        <is>
          <t>Implied Equity Market Capitalization ($M)</t>
        </is>
      </c>
      <c r="B9" s="12">
        <f>B7*B8</f>
        <v/>
      </c>
    </row>
    <row r="10">
      <c r="A10" s="8" t="inlineStr">
        <is>
          <t>Cash and Short-Term Investments ($M)</t>
        </is>
      </c>
      <c r="B10" s="9" t="n">
        <v>76843</v>
      </c>
    </row>
    <row r="11">
      <c r="A11" s="8" t="inlineStr">
        <is>
          <t>Total Debt ($M)</t>
        </is>
      </c>
      <c r="B11" s="9" t="n">
        <v>47600</v>
      </c>
    </row>
    <row r="12">
      <c r="A12" s="11" t="inlineStr">
        <is>
          <t>Net Debt ($M) [Net Cash if negative]</t>
        </is>
      </c>
      <c r="B12" s="12">
        <f>B11-B10</f>
        <v/>
      </c>
    </row>
    <row r="13">
      <c r="A13" s="11" t="inlineStr">
        <is>
          <t>Implied Enterprise Value ($M)</t>
        </is>
      </c>
      <c r="B13" s="12">
        <f>B9+B12</f>
        <v/>
      </c>
    </row>
    <row r="14">
      <c r="A14" s="8" t="inlineStr">
        <is>
          <t>Effective Corporate Tax Rate (%)</t>
        </is>
      </c>
      <c r="B14" s="13" t="n">
        <v>0.2</v>
      </c>
    </row>
    <row r="15">
      <c r="A15" s="11" t="inlineStr">
        <is>
          <t>Risk-Free Rate (10-Yr US Treasury) (%)</t>
        </is>
      </c>
      <c r="B15" s="14">
        <f>'WACC Build'!B5</f>
        <v/>
      </c>
    </row>
    <row r="16">
      <c r="A16" s="11" t="inlineStr">
        <is>
          <t>Equity Beta (5-Year Monthly)</t>
        </is>
      </c>
      <c r="B16" s="15">
        <f>'WACC Build'!B6</f>
        <v/>
      </c>
    </row>
    <row r="17">
      <c r="A17" s="11" t="inlineStr">
        <is>
          <t>Market Equity Risk Premium (ERP) (%)</t>
        </is>
      </c>
      <c r="B17" s="14">
        <f>'WACC Build'!B7</f>
        <v/>
      </c>
    </row>
    <row r="18">
      <c r="A18" s="11" t="inlineStr">
        <is>
          <t>Base Case WACC (%)</t>
        </is>
      </c>
      <c r="B18" s="14">
        <f>'WACC Build'!E26</f>
        <v/>
      </c>
    </row>
    <row r="20">
      <c r="A20" s="6" t="inlineStr">
        <is>
          <t>II. SCENARIO ASSUMPTIONS &amp; DRIVER BLOCKS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16" t="inlineStr">
        <is>
          <t>Driver / Assumption</t>
        </is>
      </c>
      <c r="B21" s="17" t="inlineStr">
        <is>
          <t>FY2026A</t>
        </is>
      </c>
      <c r="C21" s="17" t="inlineStr">
        <is>
          <t>FY2027E</t>
        </is>
      </c>
      <c r="D21" s="17" t="inlineStr">
        <is>
          <t>FY2028E</t>
        </is>
      </c>
      <c r="E21" s="17" t="inlineStr">
        <is>
          <t>FY2029E</t>
        </is>
      </c>
      <c r="F21" s="17" t="inlineStr">
        <is>
          <t>FY2030E</t>
        </is>
      </c>
      <c r="G21" s="17" t="inlineStr">
        <is>
          <t>FY2031E</t>
        </is>
      </c>
      <c r="H21" s="17" t="inlineStr">
        <is>
          <t>Terminal / WACC</t>
        </is>
      </c>
    </row>
    <row r="22">
      <c r="A22" s="18" t="inlineStr">
        <is>
          <t>Bear Case Assumptions (Selector = 1)</t>
        </is>
      </c>
      <c r="B22" s="19" t="n"/>
      <c r="C22" s="19" t="n"/>
      <c r="D22" s="19" t="n"/>
      <c r="E22" s="19" t="n"/>
      <c r="F22" s="19" t="n"/>
      <c r="G22" s="19" t="n"/>
      <c r="H22" s="19" t="n"/>
    </row>
    <row r="23">
      <c r="A23" s="8" t="inlineStr">
        <is>
          <t xml:space="preserve">  Revenue Growth (%)</t>
        </is>
      </c>
      <c r="B23" s="20" t="inlineStr">
        <is>
          <t>-</t>
        </is>
      </c>
      <c r="C23" s="13" t="n">
        <v>0.11</v>
      </c>
      <c r="D23" s="13" t="n">
        <v>0.095</v>
      </c>
      <c r="E23" s="13" t="n">
        <v>0.08500000000000001</v>
      </c>
      <c r="F23" s="13" t="n">
        <v>0.075</v>
      </c>
      <c r="G23" s="13" t="n">
        <v>0.065</v>
      </c>
      <c r="H23" s="21" t="n">
        <v>0.025</v>
      </c>
    </row>
    <row r="24">
      <c r="A24" s="8" t="inlineStr">
        <is>
          <t xml:space="preserve">  Gross Margin (%)</t>
        </is>
      </c>
      <c r="B24" s="20" t="inlineStr">
        <is>
          <t>-</t>
        </is>
      </c>
      <c r="C24" s="13" t="n">
        <v>0.675</v>
      </c>
      <c r="D24" s="13" t="n">
        <v>0.675</v>
      </c>
      <c r="E24" s="13" t="n">
        <v>0.67</v>
      </c>
      <c r="F24" s="13" t="n">
        <v>0.665</v>
      </c>
      <c r="G24" s="13" t="n">
        <v>0.66</v>
      </c>
      <c r="H24" s="20" t="inlineStr">
        <is>
          <t>-</t>
        </is>
      </c>
    </row>
    <row r="25">
      <c r="A25" s="8" t="inlineStr">
        <is>
          <t xml:space="preserve">  EBIT Margin (%)</t>
        </is>
      </c>
      <c r="B25" s="20" t="inlineStr">
        <is>
          <t>-</t>
        </is>
      </c>
      <c r="C25" s="13" t="n">
        <v>0.455</v>
      </c>
      <c r="D25" s="13" t="n">
        <v>0.45</v>
      </c>
      <c r="E25" s="13" t="n">
        <v>0.445</v>
      </c>
      <c r="F25" s="13" t="n">
        <v>0.44</v>
      </c>
      <c r="G25" s="13" t="n">
        <v>0.435</v>
      </c>
      <c r="H25" s="21" t="n">
        <v>0.115</v>
      </c>
    </row>
    <row r="26">
      <c r="A26" s="8" t="inlineStr">
        <is>
          <t xml:space="preserve">  D&amp;A (% of Revenue)</t>
        </is>
      </c>
      <c r="B26" s="20" t="inlineStr">
        <is>
          <t>-</t>
        </is>
      </c>
      <c r="C26" s="13" t="n">
        <v>0.135</v>
      </c>
      <c r="D26" s="13" t="n">
        <v>0.145</v>
      </c>
      <c r="E26" s="13" t="n">
        <v>0.14</v>
      </c>
      <c r="F26" s="13" t="n">
        <v>0.135</v>
      </c>
      <c r="G26" s="13" t="n">
        <v>0.125</v>
      </c>
      <c r="H26" s="20" t="inlineStr">
        <is>
          <t>-</t>
        </is>
      </c>
    </row>
    <row r="27">
      <c r="A27" s="8" t="inlineStr">
        <is>
          <t xml:space="preserve">  CapEx (% of Revenue)</t>
        </is>
      </c>
      <c r="B27" s="20" t="inlineStr">
        <is>
          <t>-</t>
        </is>
      </c>
      <c r="C27" s="13" t="n">
        <v>0.3</v>
      </c>
      <c r="D27" s="13" t="n">
        <v>0.26</v>
      </c>
      <c r="E27" s="13" t="n">
        <v>0.22</v>
      </c>
      <c r="F27" s="13" t="n">
        <v>0.18</v>
      </c>
      <c r="G27" s="13" t="n">
        <v>0.15</v>
      </c>
      <c r="H27" s="20" t="inlineStr">
        <is>
          <t>-</t>
        </is>
      </c>
    </row>
    <row r="28">
      <c r="A28" s="8" t="inlineStr">
        <is>
          <t xml:space="preserve">  Δ NWC (% of Δ Revenue)</t>
        </is>
      </c>
      <c r="B28" s="20" t="inlineStr">
        <is>
          <t>-</t>
        </is>
      </c>
      <c r="C28" s="13" t="n">
        <v>0.015</v>
      </c>
      <c r="D28" s="13" t="n">
        <v>0.015</v>
      </c>
      <c r="E28" s="13" t="n">
        <v>0.015</v>
      </c>
      <c r="F28" s="13" t="n">
        <v>0.015</v>
      </c>
      <c r="G28" s="13" t="n">
        <v>0.015</v>
      </c>
      <c r="H28" s="20" t="inlineStr">
        <is>
          <t>-</t>
        </is>
      </c>
    </row>
    <row r="29">
      <c r="A29" s="18" t="inlineStr">
        <is>
          <t>Base Case Assumptions (Selector = 2)</t>
        </is>
      </c>
      <c r="B29" s="19" t="n"/>
      <c r="C29" s="19" t="n"/>
      <c r="D29" s="19" t="n"/>
      <c r="E29" s="19" t="n"/>
      <c r="F29" s="19" t="n"/>
      <c r="G29" s="19" t="n"/>
      <c r="H29" s="19" t="n"/>
    </row>
    <row r="30">
      <c r="A30" s="8" t="inlineStr">
        <is>
          <t xml:space="preserve">  Revenue Growth (%)</t>
        </is>
      </c>
      <c r="B30" s="20" t="inlineStr">
        <is>
          <t>-</t>
        </is>
      </c>
      <c r="C30" s="13" t="n">
        <v>0.145</v>
      </c>
      <c r="D30" s="13" t="n">
        <v>0.13</v>
      </c>
      <c r="E30" s="13" t="n">
        <v>0.115</v>
      </c>
      <c r="F30" s="13" t="n">
        <v>0.1</v>
      </c>
      <c r="G30" s="13" t="n">
        <v>0.08500000000000001</v>
      </c>
      <c r="H30" s="21" t="n">
        <v>0.03</v>
      </c>
    </row>
    <row r="31">
      <c r="A31" s="8" t="inlineStr">
        <is>
          <t xml:space="preserve">  Gross Margin (%)</t>
        </is>
      </c>
      <c r="B31" s="20" t="inlineStr">
        <is>
          <t>-</t>
        </is>
      </c>
      <c r="C31" s="13" t="n">
        <v>0.6850000000000001</v>
      </c>
      <c r="D31" s="13" t="n">
        <v>0.6899999999999999</v>
      </c>
      <c r="E31" s="13" t="n">
        <v>0.695</v>
      </c>
      <c r="F31" s="13" t="n">
        <v>0.7</v>
      </c>
      <c r="G31" s="13" t="n">
        <v>0.702</v>
      </c>
      <c r="H31" s="20" t="inlineStr">
        <is>
          <t>-</t>
        </is>
      </c>
    </row>
    <row r="32">
      <c r="A32" s="8" t="inlineStr">
        <is>
          <t xml:space="preserve">  EBIT Margin (%)</t>
        </is>
      </c>
      <c r="B32" s="20" t="inlineStr">
        <is>
          <t>-</t>
        </is>
      </c>
      <c r="C32" s="13" t="n">
        <v>0.47</v>
      </c>
      <c r="D32" s="13" t="n">
        <v>0.478</v>
      </c>
      <c r="E32" s="13" t="n">
        <v>0.486</v>
      </c>
      <c r="F32" s="13" t="n">
        <v>0.493</v>
      </c>
      <c r="G32" s="13" t="n">
        <v>0.5</v>
      </c>
      <c r="H32" s="22">
        <f>'WACC Build'!E26</f>
        <v/>
      </c>
    </row>
    <row r="33">
      <c r="A33" s="8" t="inlineStr">
        <is>
          <t xml:space="preserve">  D&amp;A (% of Revenue)</t>
        </is>
      </c>
      <c r="B33" s="20" t="inlineStr">
        <is>
          <t>-</t>
        </is>
      </c>
      <c r="C33" s="13" t="n">
        <v>0.13</v>
      </c>
      <c r="D33" s="13" t="n">
        <v>0.14</v>
      </c>
      <c r="E33" s="13" t="n">
        <v>0.135</v>
      </c>
      <c r="F33" s="13" t="n">
        <v>0.13</v>
      </c>
      <c r="G33" s="13" t="n">
        <v>0.12</v>
      </c>
      <c r="H33" s="20" t="inlineStr">
        <is>
          <t>-</t>
        </is>
      </c>
    </row>
    <row r="34">
      <c r="A34" s="8" t="inlineStr">
        <is>
          <t xml:space="preserve">  CapEx (% of Revenue)</t>
        </is>
      </c>
      <c r="B34" s="20" t="inlineStr">
        <is>
          <t>-</t>
        </is>
      </c>
      <c r="C34" s="13" t="n">
        <v>0.28</v>
      </c>
      <c r="D34" s="13" t="n">
        <v>0.23</v>
      </c>
      <c r="E34" s="13" t="n">
        <v>0.19</v>
      </c>
      <c r="F34" s="13" t="n">
        <v>0.16</v>
      </c>
      <c r="G34" s="13" t="n">
        <v>0.135</v>
      </c>
      <c r="H34" s="20" t="inlineStr">
        <is>
          <t>-</t>
        </is>
      </c>
    </row>
    <row r="35">
      <c r="A35" s="8" t="inlineStr">
        <is>
          <t xml:space="preserve">  Δ NWC (% of Δ Revenue)</t>
        </is>
      </c>
      <c r="B35" s="20" t="inlineStr">
        <is>
          <t>-</t>
        </is>
      </c>
      <c r="C35" s="13" t="n">
        <v>0.01</v>
      </c>
      <c r="D35" s="13" t="n">
        <v>0.01</v>
      </c>
      <c r="E35" s="13" t="n">
        <v>0.01</v>
      </c>
      <c r="F35" s="13" t="n">
        <v>0.01</v>
      </c>
      <c r="G35" s="13" t="n">
        <v>0.01</v>
      </c>
      <c r="H35" s="20" t="inlineStr">
        <is>
          <t>-</t>
        </is>
      </c>
    </row>
    <row r="36">
      <c r="A36" s="18" t="inlineStr">
        <is>
          <t>Bull Case Assumptions (Selector = 3)</t>
        </is>
      </c>
      <c r="B36" s="19" t="n"/>
      <c r="C36" s="19" t="n"/>
      <c r="D36" s="19" t="n"/>
      <c r="E36" s="19" t="n"/>
      <c r="F36" s="19" t="n"/>
      <c r="G36" s="19" t="n"/>
      <c r="H36" s="19" t="n"/>
    </row>
    <row r="37">
      <c r="A37" s="8" t="inlineStr">
        <is>
          <t xml:space="preserve">  Revenue Growth (%)</t>
        </is>
      </c>
      <c r="B37" s="20" t="inlineStr">
        <is>
          <t>-</t>
        </is>
      </c>
      <c r="C37" s="13" t="n">
        <v>0.175</v>
      </c>
      <c r="D37" s="13" t="n">
        <v>0.16</v>
      </c>
      <c r="E37" s="13" t="n">
        <v>0.14</v>
      </c>
      <c r="F37" s="13" t="n">
        <v>0.125</v>
      </c>
      <c r="G37" s="13" t="n">
        <v>0.105</v>
      </c>
      <c r="H37" s="21" t="n">
        <v>0.035</v>
      </c>
    </row>
    <row r="38">
      <c r="A38" s="8" t="inlineStr">
        <is>
          <t xml:space="preserve">  Gross Margin (%)</t>
        </is>
      </c>
      <c r="B38" s="20" t="inlineStr">
        <is>
          <t>-</t>
        </is>
      </c>
      <c r="C38" s="13" t="n">
        <v>0.695</v>
      </c>
      <c r="D38" s="13" t="n">
        <v>0.705</v>
      </c>
      <c r="E38" s="13" t="n">
        <v>0.712</v>
      </c>
      <c r="F38" s="13" t="n">
        <v>0.718</v>
      </c>
      <c r="G38" s="13" t="n">
        <v>0.725</v>
      </c>
      <c r="H38" s="20" t="inlineStr">
        <is>
          <t>-</t>
        </is>
      </c>
    </row>
    <row r="39">
      <c r="A39" s="8" t="inlineStr">
        <is>
          <t xml:space="preserve">  EBIT Margin (%)</t>
        </is>
      </c>
      <c r="B39" s="20" t="inlineStr">
        <is>
          <t>-</t>
        </is>
      </c>
      <c r="C39" s="13" t="n">
        <v>0.48</v>
      </c>
      <c r="D39" s="13" t="n">
        <v>0.492</v>
      </c>
      <c r="E39" s="13" t="n">
        <v>0.505</v>
      </c>
      <c r="F39" s="13" t="n">
        <v>0.515</v>
      </c>
      <c r="G39" s="13" t="n">
        <v>0.525</v>
      </c>
      <c r="H39" s="21" t="n">
        <v>0.1</v>
      </c>
    </row>
    <row r="40">
      <c r="A40" s="8" t="inlineStr">
        <is>
          <t xml:space="preserve">  D&amp;A (% of Revenue)</t>
        </is>
      </c>
      <c r="B40" s="20" t="inlineStr">
        <is>
          <t>-</t>
        </is>
      </c>
      <c r="C40" s="13" t="n">
        <v>0.125</v>
      </c>
      <c r="D40" s="13" t="n">
        <v>0.135</v>
      </c>
      <c r="E40" s="13" t="n">
        <v>0.13</v>
      </c>
      <c r="F40" s="13" t="n">
        <v>0.125</v>
      </c>
      <c r="G40" s="13" t="n">
        <v>0.115</v>
      </c>
      <c r="H40" s="20" t="inlineStr">
        <is>
          <t>-</t>
        </is>
      </c>
    </row>
    <row r="41">
      <c r="A41" s="8" t="inlineStr">
        <is>
          <t xml:space="preserve">  CapEx (% of Revenue)</t>
        </is>
      </c>
      <c r="B41" s="20" t="inlineStr">
        <is>
          <t>-</t>
        </is>
      </c>
      <c r="C41" s="13" t="n">
        <v>0.26</v>
      </c>
      <c r="D41" s="13" t="n">
        <v>0.21</v>
      </c>
      <c r="E41" s="13" t="n">
        <v>0.175</v>
      </c>
      <c r="F41" s="13" t="n">
        <v>0.145</v>
      </c>
      <c r="G41" s="13" t="n">
        <v>0.12</v>
      </c>
      <c r="H41" s="20" t="inlineStr">
        <is>
          <t>-</t>
        </is>
      </c>
    </row>
    <row r="42">
      <c r="A42" s="8" t="inlineStr">
        <is>
          <t xml:space="preserve">  Δ NWC (% of Δ Revenue)</t>
        </is>
      </c>
      <c r="B42" s="20" t="inlineStr">
        <is>
          <t>-</t>
        </is>
      </c>
      <c r="C42" s="13" t="n">
        <v>0.01</v>
      </c>
      <c r="D42" s="13" t="n">
        <v>0.01</v>
      </c>
      <c r="E42" s="13" t="n">
        <v>0.01</v>
      </c>
      <c r="F42" s="13" t="n">
        <v>0.01</v>
      </c>
      <c r="G42" s="13" t="n">
        <v>0.01</v>
      </c>
      <c r="H42" s="20" t="inlineStr">
        <is>
          <t>-</t>
        </is>
      </c>
    </row>
    <row r="43">
      <c r="A43" s="23" t="inlineStr">
        <is>
          <t>ACTIVE CONSOLIDATED DRIVERS (PULLED VIA INDEX FORMULAS)</t>
        </is>
      </c>
      <c r="B43" s="24" t="n"/>
      <c r="C43" s="24" t="n"/>
      <c r="D43" s="24" t="n"/>
      <c r="E43" s="24" t="n"/>
      <c r="F43" s="24" t="n"/>
      <c r="G43" s="24" t="n"/>
      <c r="H43" s="24" t="n"/>
    </row>
    <row r="44">
      <c r="A44" s="11" t="inlineStr">
        <is>
          <t xml:space="preserve">  Active Revenue Growth (%)</t>
        </is>
      </c>
      <c r="B44" s="20" t="inlineStr">
        <is>
          <t>-</t>
        </is>
      </c>
      <c r="C44" s="25">
        <f>INDEX((C$23,C$30,C$37),1,1,$B$4)</f>
        <v/>
      </c>
      <c r="D44" s="25">
        <f>INDEX((D$23,D$30,D$37),1,1,$B$4)</f>
        <v/>
      </c>
      <c r="E44" s="25">
        <f>INDEX((E$23,E$30,E$37),1,1,$B$4)</f>
        <v/>
      </c>
      <c r="F44" s="25">
        <f>INDEX((F$23,F$30,F$37),1,1,$B$4)</f>
        <v/>
      </c>
      <c r="G44" s="25">
        <f>INDEX((G$23,G$30,G$37),1,1,$B$4)</f>
        <v/>
      </c>
      <c r="H44" s="25">
        <f>INDEX((H$23,H$30,H$37),1,1,$B$4)</f>
        <v/>
      </c>
    </row>
    <row r="45">
      <c r="A45" s="11" t="inlineStr">
        <is>
          <t xml:space="preserve">  Active Gross Margin (%)</t>
        </is>
      </c>
      <c r="B45" s="20" t="inlineStr">
        <is>
          <t>-</t>
        </is>
      </c>
      <c r="C45" s="25">
        <f>INDEX((C$24,C$31,C$38),1,1,$B$4)</f>
        <v/>
      </c>
      <c r="D45" s="25">
        <f>INDEX((D$24,D$31,D$38),1,1,$B$4)</f>
        <v/>
      </c>
      <c r="E45" s="25">
        <f>INDEX((E$24,E$31,E$38),1,1,$B$4)</f>
        <v/>
      </c>
      <c r="F45" s="25">
        <f>INDEX((F$24,F$31,F$38),1,1,$B$4)</f>
        <v/>
      </c>
      <c r="G45" s="25">
        <f>INDEX((G$24,G$31,G$38),1,1,$B$4)</f>
        <v/>
      </c>
      <c r="H45" s="20" t="inlineStr">
        <is>
          <t>-</t>
        </is>
      </c>
    </row>
    <row r="46">
      <c r="A46" s="11" t="inlineStr">
        <is>
          <t xml:space="preserve">  Active EBIT Margin (%)</t>
        </is>
      </c>
      <c r="B46" s="20" t="inlineStr">
        <is>
          <t>-</t>
        </is>
      </c>
      <c r="C46" s="25">
        <f>INDEX((C$25,C$32,C$39),1,1,$B$4)</f>
        <v/>
      </c>
      <c r="D46" s="25">
        <f>INDEX((D$25,D$32,D$39),1,1,$B$4)</f>
        <v/>
      </c>
      <c r="E46" s="25">
        <f>INDEX((E$25,E$32,E$39),1,1,$B$4)</f>
        <v/>
      </c>
      <c r="F46" s="25">
        <f>INDEX((F$25,F$32,F$39),1,1,$B$4)</f>
        <v/>
      </c>
      <c r="G46" s="25">
        <f>INDEX((G$25,G$32,G$39),1,1,$B$4)</f>
        <v/>
      </c>
      <c r="H46" s="25">
        <f>INDEX((H$25,H$32,H$39),1,1,$B$4)</f>
        <v/>
      </c>
    </row>
    <row r="47">
      <c r="A47" s="11" t="inlineStr">
        <is>
          <t xml:space="preserve">  Active D&amp;A (% of Revenue)</t>
        </is>
      </c>
      <c r="B47" s="20" t="inlineStr">
        <is>
          <t>-</t>
        </is>
      </c>
      <c r="C47" s="25">
        <f>INDEX((C$26,C$33,C$40),1,1,$B$4)</f>
        <v/>
      </c>
      <c r="D47" s="25">
        <f>INDEX((D$26,D$33,D$40),1,1,$B$4)</f>
        <v/>
      </c>
      <c r="E47" s="25">
        <f>INDEX((E$26,E$33,E$40),1,1,$B$4)</f>
        <v/>
      </c>
      <c r="F47" s="25">
        <f>INDEX((F$26,F$33,F$40),1,1,$B$4)</f>
        <v/>
      </c>
      <c r="G47" s="25">
        <f>INDEX((G$26,G$33,G$40),1,1,$B$4)</f>
        <v/>
      </c>
      <c r="H47" s="20" t="inlineStr">
        <is>
          <t>-</t>
        </is>
      </c>
    </row>
    <row r="48">
      <c r="A48" s="11" t="inlineStr">
        <is>
          <t xml:space="preserve">  Active CapEx (% of Revenue)</t>
        </is>
      </c>
      <c r="B48" s="20" t="inlineStr">
        <is>
          <t>-</t>
        </is>
      </c>
      <c r="C48" s="25">
        <f>INDEX((C$27,C$34,C$41),1,1,$B$4)</f>
        <v/>
      </c>
      <c r="D48" s="25">
        <f>INDEX((D$27,D$34,D$41),1,1,$B$4)</f>
        <v/>
      </c>
      <c r="E48" s="25">
        <f>INDEX((E$27,E$34,E$41),1,1,$B$4)</f>
        <v/>
      </c>
      <c r="F48" s="25">
        <f>INDEX((F$27,F$34,F$41),1,1,$B$4)</f>
        <v/>
      </c>
      <c r="G48" s="25">
        <f>INDEX((G$27,G$34,G$41),1,1,$B$4)</f>
        <v/>
      </c>
      <c r="H48" s="20" t="inlineStr">
        <is>
          <t>-</t>
        </is>
      </c>
    </row>
    <row r="49">
      <c r="A49" s="11" t="inlineStr">
        <is>
          <t xml:space="preserve">  Active Δ NWC (% of Δ Revenue)</t>
        </is>
      </c>
      <c r="B49" s="20" t="inlineStr">
        <is>
          <t>-</t>
        </is>
      </c>
      <c r="C49" s="25">
        <f>INDEX((C$28,C$35,C$42),1,1,$B$4)</f>
        <v/>
      </c>
      <c r="D49" s="25">
        <f>INDEX((D$28,D$35,D$42),1,1,$B$4)</f>
        <v/>
      </c>
      <c r="E49" s="25">
        <f>INDEX((E$28,E$35,E$42),1,1,$B$4)</f>
        <v/>
      </c>
      <c r="F49" s="25">
        <f>INDEX((F$28,F$35,F$42),1,1,$B$4)</f>
        <v/>
      </c>
      <c r="G49" s="25">
        <f>INDEX((G$28,G$35,G$42),1,1,$B$4)</f>
        <v/>
      </c>
      <c r="H49" s="20" t="inlineStr">
        <is>
          <t>-</t>
        </is>
      </c>
    </row>
    <row r="51">
      <c r="A51" s="6" t="inlineStr">
        <is>
          <t>III. FINANCIAL PERFORMANCE &amp; 5-YEAR PROJECTIONS ($M)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>
      <c r="A52" s="16" t="inlineStr">
        <is>
          <t>Income Statement Line Item ($M)</t>
        </is>
      </c>
      <c r="B52" s="17" t="inlineStr">
        <is>
          <t>FY2022A</t>
        </is>
      </c>
      <c r="C52" s="17" t="inlineStr">
        <is>
          <t>FY2023A</t>
        </is>
      </c>
      <c r="D52" s="17" t="inlineStr">
        <is>
          <t>FY2024A</t>
        </is>
      </c>
      <c r="E52" s="17" t="inlineStr">
        <is>
          <t>FY2025A</t>
        </is>
      </c>
      <c r="F52" s="17" t="inlineStr">
        <is>
          <t>FY2026A</t>
        </is>
      </c>
      <c r="G52" s="17" t="inlineStr">
        <is>
          <t>FY2027E</t>
        </is>
      </c>
      <c r="H52" s="17" t="inlineStr">
        <is>
          <t>FY2028E</t>
        </is>
      </c>
      <c r="I52" s="17" t="inlineStr">
        <is>
          <t>FY2029E</t>
        </is>
      </c>
      <c r="J52" s="17" t="inlineStr">
        <is>
          <t>FY2030E</t>
        </is>
      </c>
      <c r="K52" s="17" t="inlineStr">
        <is>
          <t>FY2031E</t>
        </is>
      </c>
    </row>
    <row r="53">
      <c r="A53" s="26" t="inlineStr">
        <is>
          <t>Total Revenue</t>
        </is>
      </c>
      <c r="B53" s="27" t="n">
        <v>198270</v>
      </c>
      <c r="C53" s="27" t="n">
        <v>211915</v>
      </c>
      <c r="D53" s="27" t="n">
        <v>245120</v>
      </c>
      <c r="E53" s="27" t="n">
        <v>281724</v>
      </c>
      <c r="F53" s="27" t="n">
        <v>331839</v>
      </c>
      <c r="G53" s="28">
        <f>F53*(1+C44)</f>
        <v/>
      </c>
      <c r="H53" s="28">
        <f>G53*(1+D44)</f>
        <v/>
      </c>
      <c r="I53" s="28">
        <f>H53*(1+E44)</f>
        <v/>
      </c>
      <c r="J53" s="28">
        <f>I53*(1+F44)</f>
        <v/>
      </c>
      <c r="K53" s="28">
        <f>J53*(1+G44)</f>
        <v/>
      </c>
    </row>
    <row r="54">
      <c r="A54" s="8" t="inlineStr">
        <is>
          <t xml:space="preserve">  Revenue YoY Growth (%)</t>
        </is>
      </c>
      <c r="B54" s="29" t="inlineStr">
        <is>
          <t>-</t>
        </is>
      </c>
      <c r="C54" s="30">
        <f>C53/B53-1</f>
        <v/>
      </c>
      <c r="D54" s="30">
        <f>D53/C53-1</f>
        <v/>
      </c>
      <c r="E54" s="30">
        <f>E53/D53-1</f>
        <v/>
      </c>
      <c r="F54" s="30">
        <f>F53/E53-1</f>
        <v/>
      </c>
      <c r="G54" s="30">
        <f>G53/F53-1</f>
        <v/>
      </c>
      <c r="H54" s="30">
        <f>H53/G53-1</f>
        <v/>
      </c>
      <c r="I54" s="30">
        <f>I53/H53-1</f>
        <v/>
      </c>
      <c r="J54" s="30">
        <f>J53/I53-1</f>
        <v/>
      </c>
      <c r="K54" s="30">
        <f>K53/J53-1</f>
        <v/>
      </c>
    </row>
    <row r="55">
      <c r="A55" s="11" t="inlineStr">
        <is>
          <t>Gross Profit</t>
        </is>
      </c>
      <c r="B55" s="31" t="n">
        <v>135620</v>
      </c>
      <c r="C55" s="31" t="n">
        <v>146052</v>
      </c>
      <c r="D55" s="31" t="n">
        <v>171010</v>
      </c>
      <c r="E55" s="31" t="n">
        <v>193893</v>
      </c>
      <c r="F55" s="31" t="n">
        <v>225465</v>
      </c>
      <c r="G55" s="32">
        <f>G53*C45</f>
        <v/>
      </c>
      <c r="H55" s="32">
        <f>H53*D45</f>
        <v/>
      </c>
      <c r="I55" s="32">
        <f>I53*E45</f>
        <v/>
      </c>
      <c r="J55" s="32">
        <f>J53*F45</f>
        <v/>
      </c>
      <c r="K55" s="32">
        <f>K53*G45</f>
        <v/>
      </c>
    </row>
    <row r="56">
      <c r="A56" s="8" t="inlineStr">
        <is>
          <t xml:space="preserve">  Gross Margin (%)</t>
        </is>
      </c>
      <c r="B56" s="30">
        <f>B55/B53</f>
        <v/>
      </c>
      <c r="C56" s="30">
        <f>C55/C53</f>
        <v/>
      </c>
      <c r="D56" s="30">
        <f>D55/D53</f>
        <v/>
      </c>
      <c r="E56" s="30">
        <f>E55/E53</f>
        <v/>
      </c>
      <c r="F56" s="30">
        <f>F55/F53</f>
        <v/>
      </c>
      <c r="G56" s="30">
        <f>G55/G53</f>
        <v/>
      </c>
      <c r="H56" s="30">
        <f>H55/H53</f>
        <v/>
      </c>
      <c r="I56" s="30">
        <f>I55/I53</f>
        <v/>
      </c>
      <c r="J56" s="30">
        <f>J55/J53</f>
        <v/>
      </c>
      <c r="K56" s="30">
        <f>K55/K53</f>
        <v/>
      </c>
    </row>
    <row r="57">
      <c r="A57" s="8" t="inlineStr">
        <is>
          <t xml:space="preserve">  Research and Development (R&amp;D)</t>
        </is>
      </c>
      <c r="B57" s="33" t="n">
        <v>24512</v>
      </c>
      <c r="C57" s="33" t="n">
        <v>27195</v>
      </c>
      <c r="D57" s="33" t="n">
        <v>29510</v>
      </c>
      <c r="E57" s="33" t="n">
        <v>32488</v>
      </c>
      <c r="F57" s="33" t="n">
        <v>37830</v>
      </c>
      <c r="G57" s="34">
        <f>G53*0.112</f>
        <v/>
      </c>
      <c r="H57" s="34">
        <f>H53*0.110</f>
        <v/>
      </c>
      <c r="I57" s="34">
        <f>I53*0.108</f>
        <v/>
      </c>
      <c r="J57" s="34">
        <f>J53*0.105</f>
        <v/>
      </c>
      <c r="K57" s="34">
        <f>K53*0.102</f>
        <v/>
      </c>
    </row>
    <row r="58">
      <c r="A58" s="8" t="inlineStr">
        <is>
          <t xml:space="preserve">  Sales and Marketing (S&amp;M)</t>
        </is>
      </c>
      <c r="B58" s="33" t="n">
        <v>21825</v>
      </c>
      <c r="C58" s="33" t="n">
        <v>22759</v>
      </c>
      <c r="D58" s="33" t="n">
        <v>24260</v>
      </c>
      <c r="E58" s="33" t="n">
        <v>25654</v>
      </c>
      <c r="F58" s="33" t="n">
        <v>27870</v>
      </c>
      <c r="G58" s="34">
        <f>G53*0.082</f>
        <v/>
      </c>
      <c r="H58" s="34">
        <f>H53*0.078</f>
        <v/>
      </c>
      <c r="I58" s="34">
        <f>I53*0.075</f>
        <v/>
      </c>
      <c r="J58" s="34">
        <f>J53*0.072</f>
        <v/>
      </c>
      <c r="K58" s="34">
        <f>K53*0.070</f>
        <v/>
      </c>
    </row>
    <row r="59">
      <c r="A59" s="8" t="inlineStr">
        <is>
          <t xml:space="preserve">  General and Administrative (G&amp;A)</t>
        </is>
      </c>
      <c r="B59" s="33" t="n">
        <v>5414</v>
      </c>
      <c r="C59" s="33" t="n">
        <v>7575</v>
      </c>
      <c r="D59" s="33" t="n">
        <v>7807</v>
      </c>
      <c r="E59" s="33" t="n">
        <v>7256</v>
      </c>
      <c r="F59" s="33" t="n">
        <v>4528</v>
      </c>
      <c r="G59" s="34">
        <f>G55-G60-G57-G58</f>
        <v/>
      </c>
      <c r="H59" s="34">
        <f>H55-H60-H57-H58</f>
        <v/>
      </c>
      <c r="I59" s="34">
        <f>I55-I60-I57-I58</f>
        <v/>
      </c>
      <c r="J59" s="34">
        <f>J55-J60-J57-J58</f>
        <v/>
      </c>
      <c r="K59" s="34">
        <f>K55-K60-K57-K58</f>
        <v/>
      </c>
    </row>
    <row r="60">
      <c r="A60" s="26" t="inlineStr">
        <is>
          <t>Operating Income (EBIT)</t>
        </is>
      </c>
      <c r="B60" s="27" t="n">
        <v>83383</v>
      </c>
      <c r="C60" s="27" t="n">
        <v>88523</v>
      </c>
      <c r="D60" s="27" t="n">
        <v>109433</v>
      </c>
      <c r="E60" s="27" t="n">
        <v>128495</v>
      </c>
      <c r="F60" s="27" t="n">
        <v>155237</v>
      </c>
      <c r="G60" s="28">
        <f>G53*C46</f>
        <v/>
      </c>
      <c r="H60" s="28">
        <f>H53*D46</f>
        <v/>
      </c>
      <c r="I60" s="28">
        <f>I53*E46</f>
        <v/>
      </c>
      <c r="J60" s="28">
        <f>J53*F46</f>
        <v/>
      </c>
      <c r="K60" s="28">
        <f>K53*G46</f>
        <v/>
      </c>
    </row>
    <row r="61">
      <c r="A61" s="8" t="inlineStr">
        <is>
          <t xml:space="preserve">  EBIT Margin (%)</t>
        </is>
      </c>
      <c r="B61" s="30">
        <f>B60/B53</f>
        <v/>
      </c>
      <c r="C61" s="30">
        <f>C60/C53</f>
        <v/>
      </c>
      <c r="D61" s="30">
        <f>D60/D53</f>
        <v/>
      </c>
      <c r="E61" s="30">
        <f>E60/E53</f>
        <v/>
      </c>
      <c r="F61" s="30">
        <f>F60/F53</f>
        <v/>
      </c>
      <c r="G61" s="30">
        <f>G60/G53</f>
        <v/>
      </c>
      <c r="H61" s="30">
        <f>H60/H53</f>
        <v/>
      </c>
      <c r="I61" s="30">
        <f>I60/I53</f>
        <v/>
      </c>
      <c r="J61" s="30">
        <f>J60/J53</f>
        <v/>
      </c>
      <c r="K61" s="30">
        <f>K60/K53</f>
        <v/>
      </c>
    </row>
    <row r="62">
      <c r="A62" s="8" t="inlineStr">
        <is>
          <t>(-) Provision for Income Taxes</t>
        </is>
      </c>
      <c r="B62" s="33" t="n">
        <v>10978</v>
      </c>
      <c r="C62" s="33" t="n">
        <v>16950</v>
      </c>
      <c r="D62" s="33" t="n">
        <v>21080</v>
      </c>
      <c r="E62" s="33" t="n">
        <v>25700</v>
      </c>
      <c r="F62" s="33" t="n">
        <v>31047</v>
      </c>
      <c r="G62" s="34">
        <f>G60*$B$14</f>
        <v/>
      </c>
      <c r="H62" s="34">
        <f>H60*$B$14</f>
        <v/>
      </c>
      <c r="I62" s="34">
        <f>I60*$B$14</f>
        <v/>
      </c>
      <c r="J62" s="34">
        <f>J60*$B$14</f>
        <v/>
      </c>
      <c r="K62" s="34">
        <f>K60*$B$14</f>
        <v/>
      </c>
    </row>
    <row r="63">
      <c r="A63" s="26" t="inlineStr">
        <is>
          <t>Net Operating Profit After Tax (NOPAT)</t>
        </is>
      </c>
      <c r="B63" s="28">
        <f>B60-B62</f>
        <v/>
      </c>
      <c r="C63" s="28">
        <f>C60-C62</f>
        <v/>
      </c>
      <c r="D63" s="28">
        <f>D60-D62</f>
        <v/>
      </c>
      <c r="E63" s="28">
        <f>E60-E62</f>
        <v/>
      </c>
      <c r="F63" s="28">
        <f>F60-F62</f>
        <v/>
      </c>
      <c r="G63" s="28">
        <f>G60-G62</f>
        <v/>
      </c>
      <c r="H63" s="28">
        <f>H60-H62</f>
        <v/>
      </c>
      <c r="I63" s="28">
        <f>I60-I62</f>
        <v/>
      </c>
      <c r="J63" s="28">
        <f>J60-J62</f>
        <v/>
      </c>
      <c r="K63" s="28">
        <f>K60-K62</f>
        <v/>
      </c>
    </row>
    <row r="65">
      <c r="A65" s="6" t="inlineStr">
        <is>
          <t>IV. UNLEVERED FREE CASH FLOW (UFCF) BUILD ($M)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>
      <c r="A66" s="16" t="inlineStr">
        <is>
          <t>Cash Flow Line Item ($M)</t>
        </is>
      </c>
      <c r="B66" s="17" t="inlineStr">
        <is>
          <t>FY2022A</t>
        </is>
      </c>
      <c r="C66" s="17" t="inlineStr">
        <is>
          <t>FY2023A</t>
        </is>
      </c>
      <c r="D66" s="17" t="inlineStr">
        <is>
          <t>FY2024A</t>
        </is>
      </c>
      <c r="E66" s="17" t="inlineStr">
        <is>
          <t>FY2025A</t>
        </is>
      </c>
      <c r="F66" s="17" t="inlineStr">
        <is>
          <t>FY2026A</t>
        </is>
      </c>
      <c r="G66" s="17" t="inlineStr">
        <is>
          <t>FY2027E</t>
        </is>
      </c>
      <c r="H66" s="17" t="inlineStr">
        <is>
          <t>FY2028E</t>
        </is>
      </c>
      <c r="I66" s="17" t="inlineStr">
        <is>
          <t>FY2029E</t>
        </is>
      </c>
      <c r="J66" s="17" t="inlineStr">
        <is>
          <t>FY2030E</t>
        </is>
      </c>
      <c r="K66" s="17" t="inlineStr">
        <is>
          <t>FY2031E</t>
        </is>
      </c>
    </row>
    <row r="67">
      <c r="A67" s="11" t="inlineStr">
        <is>
          <t>Net Operating Profit After Tax (NOPAT)</t>
        </is>
      </c>
      <c r="B67" s="32">
        <f>B63</f>
        <v/>
      </c>
      <c r="C67" s="32">
        <f>C63</f>
        <v/>
      </c>
      <c r="D67" s="32">
        <f>D63</f>
        <v/>
      </c>
      <c r="E67" s="32">
        <f>E63</f>
        <v/>
      </c>
      <c r="F67" s="32">
        <f>F63</f>
        <v/>
      </c>
      <c r="G67" s="32">
        <f>G63</f>
        <v/>
      </c>
      <c r="H67" s="32">
        <f>H63</f>
        <v/>
      </c>
      <c r="I67" s="32">
        <f>I63</f>
        <v/>
      </c>
      <c r="J67" s="32">
        <f>J63</f>
        <v/>
      </c>
      <c r="K67" s="32">
        <f>K63</f>
        <v/>
      </c>
    </row>
    <row r="68">
      <c r="A68" s="8" t="inlineStr">
        <is>
          <t>(+) Depreciation &amp; Amortization (D&amp;A)</t>
        </is>
      </c>
      <c r="B68" s="33" t="n">
        <v>14460</v>
      </c>
      <c r="C68" s="33" t="n">
        <v>13861</v>
      </c>
      <c r="D68" s="33" t="n">
        <v>22287</v>
      </c>
      <c r="E68" s="33" t="n">
        <v>34153</v>
      </c>
      <c r="F68" s="33" t="n">
        <v>38534</v>
      </c>
      <c r="G68" s="34">
        <f>G53*C47</f>
        <v/>
      </c>
      <c r="H68" s="34">
        <f>H53*D47</f>
        <v/>
      </c>
      <c r="I68" s="34">
        <f>I53*E47</f>
        <v/>
      </c>
      <c r="J68" s="34">
        <f>J53*F47</f>
        <v/>
      </c>
      <c r="K68" s="34">
        <f>K53*G47</f>
        <v/>
      </c>
    </row>
    <row r="69">
      <c r="A69" s="8" t="inlineStr">
        <is>
          <t>(-) Capital Expenditures (CapEx)</t>
        </is>
      </c>
      <c r="B69" s="33" t="n">
        <v>23886</v>
      </c>
      <c r="C69" s="33" t="n">
        <v>28107</v>
      </c>
      <c r="D69" s="33" t="n">
        <v>44480</v>
      </c>
      <c r="E69" s="33" t="n">
        <v>72500</v>
      </c>
      <c r="F69" s="33" t="n">
        <v>115900</v>
      </c>
      <c r="G69" s="34">
        <f>G53*C48</f>
        <v/>
      </c>
      <c r="H69" s="34">
        <f>H53*D48</f>
        <v/>
      </c>
      <c r="I69" s="34">
        <f>I53*E48</f>
        <v/>
      </c>
      <c r="J69" s="34">
        <f>J53*F48</f>
        <v/>
      </c>
      <c r="K69" s="34">
        <f>K53*G48</f>
        <v/>
      </c>
    </row>
    <row r="70">
      <c r="A70" s="8" t="inlineStr">
        <is>
          <t>(-) Change in Net Working Capital (Δ NWC)</t>
        </is>
      </c>
      <c r="B70" s="33" t="n">
        <v>1800</v>
      </c>
      <c r="C70" s="33" t="n">
        <v>2000</v>
      </c>
      <c r="D70" s="33" t="n">
        <v>3500</v>
      </c>
      <c r="E70" s="33" t="n">
        <v>4000</v>
      </c>
      <c r="F70" s="33" t="n">
        <v>5000</v>
      </c>
      <c r="G70" s="34">
        <f>(G53-F53)*C49</f>
        <v/>
      </c>
      <c r="H70" s="34">
        <f>(H53-G53)*D49</f>
        <v/>
      </c>
      <c r="I70" s="34">
        <f>(I53-H53)*E49</f>
        <v/>
      </c>
      <c r="J70" s="34">
        <f>(J53-I53)*F49</f>
        <v/>
      </c>
      <c r="K70" s="34">
        <f>(K53-J53)*G49</f>
        <v/>
      </c>
    </row>
    <row r="71">
      <c r="A71" s="26" t="inlineStr">
        <is>
          <t>Unlevered Free Cash Flow (UFCF)</t>
        </is>
      </c>
      <c r="B71" s="35">
        <f>B67+B68-B69-B70</f>
        <v/>
      </c>
      <c r="C71" s="35">
        <f>C67+C68-C69-C70</f>
        <v/>
      </c>
      <c r="D71" s="35">
        <f>D67+D68-D69-D70</f>
        <v/>
      </c>
      <c r="E71" s="35">
        <f>E67+E68-E69-E70</f>
        <v/>
      </c>
      <c r="F71" s="35">
        <f>F67+F68-F69-F70</f>
        <v/>
      </c>
      <c r="G71" s="35">
        <f>G67+G68-G69-G70</f>
        <v/>
      </c>
      <c r="H71" s="35">
        <f>H67+H68-H69-H70</f>
        <v/>
      </c>
      <c r="I71" s="35">
        <f>I67+I68-I69-I70</f>
        <v/>
      </c>
      <c r="J71" s="35">
        <f>J67+J68-J69-J70</f>
        <v/>
      </c>
      <c r="K71" s="35">
        <f>K67+K68-K69-K70</f>
        <v/>
      </c>
    </row>
    <row r="72">
      <c r="A72" s="8" t="inlineStr">
        <is>
          <t xml:space="preserve">  FCF Conversion Margin (% of Revenue)</t>
        </is>
      </c>
      <c r="B72" s="30">
        <f>B71/B53</f>
        <v/>
      </c>
      <c r="C72" s="30">
        <f>C71/C53</f>
        <v/>
      </c>
      <c r="D72" s="30">
        <f>D71/D53</f>
        <v/>
      </c>
      <c r="E72" s="30">
        <f>E71/E53</f>
        <v/>
      </c>
      <c r="F72" s="30">
        <f>F71/F53</f>
        <v/>
      </c>
      <c r="G72" s="30">
        <f>G71/G53</f>
        <v/>
      </c>
      <c r="H72" s="30">
        <f>H71/H53</f>
        <v/>
      </c>
      <c r="I72" s="30">
        <f>I71/I53</f>
        <v/>
      </c>
      <c r="J72" s="30">
        <f>J71/J53</f>
        <v/>
      </c>
      <c r="K72" s="30">
        <f>K71/K53</f>
        <v/>
      </c>
    </row>
    <row r="74">
      <c r="A74" s="6" t="inlineStr">
        <is>
          <t>V. DISCOUNTING SCHEDULE &amp; VALUATION SUMMARY ($M)</t>
        </is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>
      <c r="A75" s="16" t="inlineStr">
        <is>
          <t>DCF Component ($M)</t>
        </is>
      </c>
      <c r="B75" s="17" t="inlineStr">
        <is>
          <t>FY2027E</t>
        </is>
      </c>
      <c r="C75" s="17" t="inlineStr">
        <is>
          <t>FY2028E</t>
        </is>
      </c>
      <c r="D75" s="17" t="inlineStr">
        <is>
          <t>FY2029E</t>
        </is>
      </c>
      <c r="E75" s="17" t="inlineStr">
        <is>
          <t>FY2030E</t>
        </is>
      </c>
      <c r="F75" s="17" t="inlineStr">
        <is>
          <t>FY2031E</t>
        </is>
      </c>
      <c r="G75" s="17" t="inlineStr">
        <is>
          <t>Terminal Year</t>
        </is>
      </c>
      <c r="H75" s="16" t="inlineStr"/>
      <c r="I75" s="16" t="inlineStr"/>
      <c r="J75" s="16" t="inlineStr"/>
      <c r="K75" s="16" t="inlineStr"/>
    </row>
    <row r="76">
      <c r="A76" s="11" t="inlineStr">
        <is>
          <t>Unlevered Free Cash Flow (UFCF)</t>
        </is>
      </c>
      <c r="B76" s="32">
        <f>G71</f>
        <v/>
      </c>
      <c r="C76" s="32">
        <f>H71</f>
        <v/>
      </c>
      <c r="D76" s="32">
        <f>I71</f>
        <v/>
      </c>
      <c r="E76" s="32">
        <f>J71</f>
        <v/>
      </c>
      <c r="F76" s="32">
        <f>K71</f>
        <v/>
      </c>
      <c r="G76" s="32">
        <f>F76*(1+$H$44)</f>
        <v/>
      </c>
    </row>
    <row r="77">
      <c r="A77" s="8" t="inlineStr">
        <is>
          <t>Mid-Year Discount Period (t)</t>
        </is>
      </c>
      <c r="B77" s="36" t="n">
        <v>0.5</v>
      </c>
      <c r="C77" s="36" t="n">
        <v>1.5</v>
      </c>
      <c r="D77" s="36" t="n">
        <v>2.5</v>
      </c>
      <c r="E77" s="36" t="n">
        <v>3.5</v>
      </c>
      <c r="F77" s="36" t="n">
        <v>4.5</v>
      </c>
      <c r="G77" s="36" t="n">
        <v>4.5</v>
      </c>
    </row>
    <row r="78">
      <c r="A78" s="8" t="inlineStr">
        <is>
          <t>Discount Factor (WACC Discounting)</t>
        </is>
      </c>
      <c r="B78" s="37">
        <f>1/(1+$H$46)^B77</f>
        <v/>
      </c>
      <c r="C78" s="37">
        <f>1/(1+$H$46)^C77</f>
        <v/>
      </c>
      <c r="D78" s="37">
        <f>1/(1+$H$46)^D77</f>
        <v/>
      </c>
      <c r="E78" s="37">
        <f>1/(1+$H$46)^E77</f>
        <v/>
      </c>
      <c r="F78" s="37">
        <f>1/(1+$H$46)^F77</f>
        <v/>
      </c>
      <c r="G78" s="37">
        <f>1/(1+$H$46)^G77</f>
        <v/>
      </c>
    </row>
    <row r="79">
      <c r="A79" s="11" t="inlineStr">
        <is>
          <t>Present Value of Cash Flow (PV of UFCF)</t>
        </is>
      </c>
      <c r="B79" s="32">
        <f>B76*B78</f>
        <v/>
      </c>
      <c r="C79" s="32">
        <f>C76*C78</f>
        <v/>
      </c>
      <c r="D79" s="32">
        <f>D76*D78</f>
        <v/>
      </c>
      <c r="E79" s="32">
        <f>E76*E78</f>
        <v/>
      </c>
      <c r="F79" s="32">
        <f>F76*F78</f>
        <v/>
      </c>
      <c r="G79" s="38" t="inlineStr">
        <is>
          <t>-</t>
        </is>
      </c>
    </row>
    <row r="80">
      <c r="A80" s="11" t="inlineStr">
        <is>
          <t>Nominal Terminal Value (Perpetuity Growth Method)</t>
        </is>
      </c>
      <c r="B80" s="39" t="inlineStr">
        <is>
          <t>-</t>
        </is>
      </c>
      <c r="C80" s="39" t="inlineStr">
        <is>
          <t>-</t>
        </is>
      </c>
      <c r="D80" s="39" t="inlineStr">
        <is>
          <t>-</t>
        </is>
      </c>
      <c r="E80" s="39" t="inlineStr">
        <is>
          <t>-</t>
        </is>
      </c>
      <c r="F80" s="39" t="inlineStr">
        <is>
          <t>-</t>
        </is>
      </c>
      <c r="G80" s="34">
        <f>G76/($H$46-$H$44)</f>
        <v/>
      </c>
    </row>
    <row r="81">
      <c r="A81" s="11" t="inlineStr">
        <is>
          <t>Present Value of Terminal Value (PV of TV)</t>
        </is>
      </c>
      <c r="B81" s="38" t="inlineStr">
        <is>
          <t>-</t>
        </is>
      </c>
      <c r="C81" s="38" t="inlineStr">
        <is>
          <t>-</t>
        </is>
      </c>
      <c r="D81" s="38" t="inlineStr">
        <is>
          <t>-</t>
        </is>
      </c>
      <c r="E81" s="38" t="inlineStr">
        <is>
          <t>-</t>
        </is>
      </c>
      <c r="F81" s="38" t="inlineStr">
        <is>
          <t>-</t>
        </is>
      </c>
      <c r="G81" s="32">
        <f>G80*G78</f>
        <v/>
      </c>
    </row>
    <row r="83">
      <c r="A83" s="18" t="inlineStr">
        <is>
          <t>VALUATION BRIDGE &amp; PER-SHARE IMPLICATION</t>
        </is>
      </c>
      <c r="B83" s="19" t="n"/>
      <c r="C83" s="19" t="n"/>
    </row>
    <row r="84">
      <c r="A84" s="8" t="inlineStr">
        <is>
          <t>Cumulative PV of Explicit 5-Year FCFs ($M)</t>
        </is>
      </c>
      <c r="B84" s="40">
        <f>SUM(B79:F79)</f>
        <v/>
      </c>
      <c r="D84" s="41" t="inlineStr">
        <is>
          <t>Terminal Value Metrics &amp; Checks:</t>
        </is>
      </c>
    </row>
    <row r="85">
      <c r="A85" s="8" t="inlineStr">
        <is>
          <t>Present Value of Terminal Value ($M)</t>
        </is>
      </c>
      <c r="B85" s="40">
        <f>G81</f>
        <v/>
      </c>
      <c r="D85" s="8" t="inlineStr">
        <is>
          <t>PV of TV % of Enterprise Value</t>
        </is>
      </c>
      <c r="E85" s="25">
        <f>B85/B86</f>
        <v/>
      </c>
    </row>
    <row r="86">
      <c r="A86" s="42" t="inlineStr">
        <is>
          <t>Enterprise Value ($M)</t>
        </is>
      </c>
      <c r="B86" s="43">
        <f>B84+B85</f>
        <v/>
      </c>
      <c r="D86" s="8" t="inlineStr">
        <is>
          <t>Implied Exit Multiple (EV / FY31E EBITDA)</t>
        </is>
      </c>
      <c r="E86" s="44">
        <f>B86/(K60+K68)</f>
        <v/>
      </c>
    </row>
    <row r="87">
      <c r="A87" s="8" t="inlineStr">
        <is>
          <t>(-) Total Debt ($M)</t>
        </is>
      </c>
      <c r="B87" s="40">
        <f>-B11</f>
        <v/>
      </c>
    </row>
    <row r="88">
      <c r="A88" s="8" t="inlineStr">
        <is>
          <t>(+) Cash and Short-Term Investments ($M)</t>
        </is>
      </c>
      <c r="B88" s="40">
        <f>B10</f>
        <v/>
      </c>
    </row>
    <row r="89">
      <c r="A89" s="8" t="inlineStr">
        <is>
          <t>Net Debt Adjustment ($M) [Net Cash = +$]</t>
        </is>
      </c>
      <c r="B89" s="40">
        <f>B87+B88</f>
        <v/>
      </c>
    </row>
    <row r="90">
      <c r="A90" s="42" t="inlineStr">
        <is>
          <t>Implied Equity Value ($M)</t>
        </is>
      </c>
      <c r="B90" s="43">
        <f>B86+B89</f>
        <v/>
      </c>
    </row>
    <row r="91">
      <c r="A91" s="8" t="inlineStr">
        <is>
          <t>Diluted Shares Outstanding (M)</t>
        </is>
      </c>
      <c r="B91" s="45">
        <f>B8</f>
        <v/>
      </c>
    </row>
    <row r="92">
      <c r="A92" s="42" t="inlineStr">
        <is>
          <t>IMPLIED INTRINSIC VALUE PER SHARE ($)</t>
        </is>
      </c>
      <c r="B92" s="43">
        <f>B90/B91</f>
        <v/>
      </c>
    </row>
    <row r="93">
      <c r="A93" s="8" t="inlineStr">
        <is>
          <t>Current Market Stock Price ($)</t>
        </is>
      </c>
      <c r="B93" s="40">
        <f>B7</f>
        <v/>
      </c>
    </row>
    <row r="94">
      <c r="A94" s="42" t="inlineStr">
        <is>
          <t>Implied Upside / (Downside) (%)</t>
        </is>
      </c>
      <c r="B94" s="46">
        <f>B92/B93-1</f>
        <v/>
      </c>
    </row>
    <row r="98">
      <c r="A98" s="6" t="inlineStr">
        <is>
          <t>VI. INSTITUTIONAL SENSITIVITY MATRICES (5x5 GRIDS WITH FULL DCF RECALCULATION)</t>
        </is>
      </c>
      <c r="B98" s="7" t="n"/>
      <c r="C98" s="7" t="n"/>
      <c r="D98" s="7" t="n"/>
      <c r="E98" s="7" t="n"/>
      <c r="F98" s="7" t="n"/>
      <c r="G98" s="7" t="n"/>
      <c r="H98" s="7" t="n"/>
    </row>
    <row r="100">
      <c r="A100" s="18" t="inlineStr">
        <is>
          <t>TABLE 1: IMPLIED SHARE PRICE ($) - WACC vs. TERMINAL GROWTH RATE (g)</t>
        </is>
      </c>
      <c r="B100" s="19" t="n"/>
      <c r="C100" s="19" t="n"/>
      <c r="D100" s="19" t="n"/>
      <c r="E100" s="19" t="n"/>
      <c r="F100" s="19" t="n"/>
    </row>
    <row r="101">
      <c r="A101" s="17" t="inlineStr">
        <is>
          <t>WACC \ Terminal g</t>
        </is>
      </c>
      <c r="B101" s="47">
        <f>$H$44-0.01</f>
        <v/>
      </c>
      <c r="C101" s="47">
        <f>$H$44-0.005</f>
        <v/>
      </c>
      <c r="D101" s="48">
        <f>$H$44</f>
        <v/>
      </c>
      <c r="E101" s="47">
        <f>$H$44+0.005</f>
        <v/>
      </c>
      <c r="F101" s="47">
        <f>$H$44+0.01</f>
        <v/>
      </c>
    </row>
    <row r="102">
      <c r="A102" s="49">
        <f>$H$46-0.01</f>
        <v/>
      </c>
      <c r="B102" s="40">
        <f>(($B$76/(1+$A102)^0.5 + $C$76/(1+$A102)^1.5 + $D$76/(1+$A102)^2.5 + $E$76/(1+$A102)^3.5 + $F$76/(1+$A102)^4.5) + (($F$76*(1+B$101)/($A102-B$101))/(1+$A102)^4.5) + $B$89)/$B$91</f>
        <v/>
      </c>
      <c r="C102" s="40">
        <f>(($B$76/(1+$A102)^0.5 + $C$76/(1+$A102)^1.5 + $D$76/(1+$A102)^2.5 + $E$76/(1+$A102)^3.5 + $F$76/(1+$A102)^4.5) + (($F$76*(1+C$101)/($A102-C$101))/(1+$A102)^4.5) + $B$89)/$B$91</f>
        <v/>
      </c>
      <c r="D102" s="40">
        <f>(($B$76/(1+$A102)^0.5 + $C$76/(1+$A102)^1.5 + $D$76/(1+$A102)^2.5 + $E$76/(1+$A102)^3.5 + $F$76/(1+$A102)^4.5) + (($F$76*(1+D$101)/($A102-D$101))/(1+$A102)^4.5) + $B$89)/$B$91</f>
        <v/>
      </c>
      <c r="E102" s="40">
        <f>(($B$76/(1+$A102)^0.5 + $C$76/(1+$A102)^1.5 + $D$76/(1+$A102)^2.5 + $E$76/(1+$A102)^3.5 + $F$76/(1+$A102)^4.5) + (($F$76*(1+E$101)/($A102-E$101))/(1+$A102)^4.5) + $B$89)/$B$91</f>
        <v/>
      </c>
      <c r="F102" s="40">
        <f>(($B$76/(1+$A102)^0.5 + $C$76/(1+$A102)^1.5 + $D$76/(1+$A102)^2.5 + $E$76/(1+$A102)^3.5 + $F$76/(1+$A102)^4.5) + (($F$76*(1+F$101)/($A102-F$101))/(1+$A102)^4.5) + $B$89)/$B$91</f>
        <v/>
      </c>
    </row>
    <row r="103">
      <c r="A103" s="49">
        <f>$H$46-0.005</f>
        <v/>
      </c>
      <c r="B103" s="40">
        <f>(($B$76/(1+$A103)^0.5 + $C$76/(1+$A103)^1.5 + $D$76/(1+$A103)^2.5 + $E$76/(1+$A103)^3.5 + $F$76/(1+$A103)^4.5) + (($F$76*(1+B$101)/($A103-B$101))/(1+$A103)^4.5) + $B$89)/$B$91</f>
        <v/>
      </c>
      <c r="C103" s="40">
        <f>(($B$76/(1+$A103)^0.5 + $C$76/(1+$A103)^1.5 + $D$76/(1+$A103)^2.5 + $E$76/(1+$A103)^3.5 + $F$76/(1+$A103)^4.5) + (($F$76*(1+C$101)/($A103-C$101))/(1+$A103)^4.5) + $B$89)/$B$91</f>
        <v/>
      </c>
      <c r="D103" s="40">
        <f>(($B$76/(1+$A103)^0.5 + $C$76/(1+$A103)^1.5 + $D$76/(1+$A103)^2.5 + $E$76/(1+$A103)^3.5 + $F$76/(1+$A103)^4.5) + (($F$76*(1+D$101)/($A103-D$101))/(1+$A103)^4.5) + $B$89)/$B$91</f>
        <v/>
      </c>
      <c r="E103" s="40">
        <f>(($B$76/(1+$A103)^0.5 + $C$76/(1+$A103)^1.5 + $D$76/(1+$A103)^2.5 + $E$76/(1+$A103)^3.5 + $F$76/(1+$A103)^4.5) + (($F$76*(1+E$101)/($A103-E$101))/(1+$A103)^4.5) + $B$89)/$B$91</f>
        <v/>
      </c>
      <c r="F103" s="40">
        <f>(($B$76/(1+$A103)^0.5 + $C$76/(1+$A103)^1.5 + $D$76/(1+$A103)^2.5 + $E$76/(1+$A103)^3.5 + $F$76/(1+$A103)^4.5) + (($F$76*(1+F$101)/($A103-F$101))/(1+$A103)^4.5) + $B$89)/$B$91</f>
        <v/>
      </c>
    </row>
    <row r="104">
      <c r="A104" s="50">
        <f>$H$46</f>
        <v/>
      </c>
      <c r="B104" s="40">
        <f>(($B$76/(1+$A104)^0.5 + $C$76/(1+$A104)^1.5 + $D$76/(1+$A104)^2.5 + $E$76/(1+$A104)^3.5 + $F$76/(1+$A104)^4.5) + (($F$76*(1+B$101)/($A104-B$101))/(1+$A104)^4.5) + $B$89)/$B$91</f>
        <v/>
      </c>
      <c r="C104" s="40">
        <f>(($B$76/(1+$A104)^0.5 + $C$76/(1+$A104)^1.5 + $D$76/(1+$A104)^2.5 + $E$76/(1+$A104)^3.5 + $F$76/(1+$A104)^4.5) + (($F$76*(1+C$101)/($A104-C$101))/(1+$A104)^4.5) + $B$89)/$B$91</f>
        <v/>
      </c>
      <c r="D104" s="51">
        <f>(($B$76/(1+$A104)^0.5 + $C$76/(1+$A104)^1.5 + $D$76/(1+$A104)^2.5 + $E$76/(1+$A104)^3.5 + $F$76/(1+$A104)^4.5) + (($F$76*(1+D$101)/($A104-D$101))/(1+$A104)^4.5) + $B$89)/$B$91</f>
        <v/>
      </c>
      <c r="E104" s="40">
        <f>(($B$76/(1+$A104)^0.5 + $C$76/(1+$A104)^1.5 + $D$76/(1+$A104)^2.5 + $E$76/(1+$A104)^3.5 + $F$76/(1+$A104)^4.5) + (($F$76*(1+E$101)/($A104-E$101))/(1+$A104)^4.5) + $B$89)/$B$91</f>
        <v/>
      </c>
      <c r="F104" s="40">
        <f>(($B$76/(1+$A104)^0.5 + $C$76/(1+$A104)^1.5 + $D$76/(1+$A104)^2.5 + $E$76/(1+$A104)^3.5 + $F$76/(1+$A104)^4.5) + (($F$76*(1+F$101)/($A104-F$101))/(1+$A104)^4.5) + $B$89)/$B$91</f>
        <v/>
      </c>
    </row>
    <row r="105">
      <c r="A105" s="49">
        <f>$H$46+0.005</f>
        <v/>
      </c>
      <c r="B105" s="40">
        <f>(($B$76/(1+$A105)^0.5 + $C$76/(1+$A105)^1.5 + $D$76/(1+$A105)^2.5 + $E$76/(1+$A105)^3.5 + $F$76/(1+$A105)^4.5) + (($F$76*(1+B$101)/($A105-B$101))/(1+$A105)^4.5) + $B$89)/$B$91</f>
        <v/>
      </c>
      <c r="C105" s="40">
        <f>(($B$76/(1+$A105)^0.5 + $C$76/(1+$A105)^1.5 + $D$76/(1+$A105)^2.5 + $E$76/(1+$A105)^3.5 + $F$76/(1+$A105)^4.5) + (($F$76*(1+C$101)/($A105-C$101))/(1+$A105)^4.5) + $B$89)/$B$91</f>
        <v/>
      </c>
      <c r="D105" s="40">
        <f>(($B$76/(1+$A105)^0.5 + $C$76/(1+$A105)^1.5 + $D$76/(1+$A105)^2.5 + $E$76/(1+$A105)^3.5 + $F$76/(1+$A105)^4.5) + (($F$76*(1+D$101)/($A105-D$101))/(1+$A105)^4.5) + $B$89)/$B$91</f>
        <v/>
      </c>
      <c r="E105" s="40">
        <f>(($B$76/(1+$A105)^0.5 + $C$76/(1+$A105)^1.5 + $D$76/(1+$A105)^2.5 + $E$76/(1+$A105)^3.5 + $F$76/(1+$A105)^4.5) + (($F$76*(1+E$101)/($A105-E$101))/(1+$A105)^4.5) + $B$89)/$B$91</f>
        <v/>
      </c>
      <c r="F105" s="40">
        <f>(($B$76/(1+$A105)^0.5 + $C$76/(1+$A105)^1.5 + $D$76/(1+$A105)^2.5 + $E$76/(1+$A105)^3.5 + $F$76/(1+$A105)^4.5) + (($F$76*(1+F$101)/($A105-F$101))/(1+$A105)^4.5) + $B$89)/$B$91</f>
        <v/>
      </c>
    </row>
    <row r="106">
      <c r="A106" s="49">
        <f>$H$46+0.01</f>
        <v/>
      </c>
      <c r="B106" s="40">
        <f>(($B$76/(1+$A106)^0.5 + $C$76/(1+$A106)^1.5 + $D$76/(1+$A106)^2.5 + $E$76/(1+$A106)^3.5 + $F$76/(1+$A106)^4.5) + (($F$76*(1+B$101)/($A106-B$101))/(1+$A106)^4.5) + $B$89)/$B$91</f>
        <v/>
      </c>
      <c r="C106" s="40">
        <f>(($B$76/(1+$A106)^0.5 + $C$76/(1+$A106)^1.5 + $D$76/(1+$A106)^2.5 + $E$76/(1+$A106)^3.5 + $F$76/(1+$A106)^4.5) + (($F$76*(1+C$101)/($A106-C$101))/(1+$A106)^4.5) + $B$89)/$B$91</f>
        <v/>
      </c>
      <c r="D106" s="40">
        <f>(($B$76/(1+$A106)^0.5 + $C$76/(1+$A106)^1.5 + $D$76/(1+$A106)^2.5 + $E$76/(1+$A106)^3.5 + $F$76/(1+$A106)^4.5) + (($F$76*(1+D$101)/($A106-D$101))/(1+$A106)^4.5) + $B$89)/$B$91</f>
        <v/>
      </c>
      <c r="E106" s="40">
        <f>(($B$76/(1+$A106)^0.5 + $C$76/(1+$A106)^1.5 + $D$76/(1+$A106)^2.5 + $E$76/(1+$A106)^3.5 + $F$76/(1+$A106)^4.5) + (($F$76*(1+E$101)/($A106-E$101))/(1+$A106)^4.5) + $B$89)/$B$91</f>
        <v/>
      </c>
      <c r="F106" s="40">
        <f>(($B$76/(1+$A106)^0.5 + $C$76/(1+$A106)^1.5 + $D$76/(1+$A106)^2.5 + $E$76/(1+$A106)^3.5 + $F$76/(1+$A106)^4.5) + (($F$76*(1+F$101)/($A106-F$101))/(1+$A106)^4.5) + $B$89)/$B$91</f>
        <v/>
      </c>
    </row>
    <row r="110">
      <c r="A110" s="18" t="inlineStr">
        <is>
          <t>TABLE 2: IMPLIED SHARE PRICE ($) - REVENUE GROWTH MULTIPLIER vs. FY31E EBIT MARGIN</t>
        </is>
      </c>
      <c r="B110" s="19" t="n"/>
      <c r="C110" s="19" t="n"/>
      <c r="D110" s="19" t="n"/>
      <c r="E110" s="19" t="n"/>
      <c r="F110" s="19" t="n"/>
    </row>
    <row r="111">
      <c r="A111" s="17" t="inlineStr">
        <is>
          <t>Growth Multiplier \ EBIT Margin</t>
        </is>
      </c>
      <c r="B111" s="52">
        <f>$G$46-0.04</f>
        <v/>
      </c>
      <c r="C111" s="52">
        <f>$G$46-0.02</f>
        <v/>
      </c>
      <c r="D111" s="53">
        <f>$G$46</f>
        <v/>
      </c>
      <c r="E111" s="52">
        <f>$G$46+0.02</f>
        <v/>
      </c>
      <c r="F111" s="52">
        <f>$G$46+0.04</f>
        <v/>
      </c>
    </row>
    <row r="112">
      <c r="A112" s="54" t="n">
        <v>0.8</v>
      </c>
      <c r="B112" s="40">
        <f>((($B$76*$A112*(B$111/$G$46)/(1+$H$46)^0.5 + $C$76*$A112*(B$111/$G$46)/(1+$H$46)^1.5 + $D$76*$A112*(B$111/$G$46)/(1+$H$46)^2.5 + $E$76*$A112*(B$111/$G$46)/(1+$H$46)^3.5 + $F$76*$A112*(B$111/$G$46)/(1+$H$46)^4.5) + (($F$76*$A112*(B$111/$G$46)*(1+$H$44)/($H$46-$H$44))/(1+$H$46)^4.5) + $B$89)/$B$91)</f>
        <v/>
      </c>
      <c r="C112" s="40">
        <f>((($B$76*$A112*(C$111/$G$46)/(1+$H$46)^0.5 + $C$76*$A112*(C$111/$G$46)/(1+$H$46)^1.5 + $D$76*$A112*(C$111/$G$46)/(1+$H$46)^2.5 + $E$76*$A112*(C$111/$G$46)/(1+$H$46)^3.5 + $F$76*$A112*(C$111/$G$46)/(1+$H$46)^4.5) + (($F$76*$A112*(C$111/$G$46)*(1+$H$44)/($H$46-$H$44))/(1+$H$46)^4.5) + $B$89)/$B$91)</f>
        <v/>
      </c>
      <c r="D112" s="40">
        <f>((($B$76*$A112*(D$111/$G$46)/(1+$H$46)^0.5 + $C$76*$A112*(D$111/$G$46)/(1+$H$46)^1.5 + $D$76*$A112*(D$111/$G$46)/(1+$H$46)^2.5 + $E$76*$A112*(D$111/$G$46)/(1+$H$46)^3.5 + $F$76*$A112*(D$111/$G$46)/(1+$H$46)^4.5) + (($F$76*$A112*(D$111/$G$46)*(1+$H$44)/($H$46-$H$44))/(1+$H$46)^4.5) + $B$89)/$B$91)</f>
        <v/>
      </c>
      <c r="E112" s="40">
        <f>((($B$76*$A112*(E$111/$G$46)/(1+$H$46)^0.5 + $C$76*$A112*(E$111/$G$46)/(1+$H$46)^1.5 + $D$76*$A112*(E$111/$G$46)/(1+$H$46)^2.5 + $E$76*$A112*(E$111/$G$46)/(1+$H$46)^3.5 + $F$76*$A112*(E$111/$G$46)/(1+$H$46)^4.5) + (($F$76*$A112*(E$111/$G$46)*(1+$H$44)/($H$46-$H$44))/(1+$H$46)^4.5) + $B$89)/$B$91)</f>
        <v/>
      </c>
      <c r="F112" s="40">
        <f>((($B$76*$A112*(F$111/$G$46)/(1+$H$46)^0.5 + $C$76*$A112*(F$111/$G$46)/(1+$H$46)^1.5 + $D$76*$A112*(F$111/$G$46)/(1+$H$46)^2.5 + $E$76*$A112*(F$111/$G$46)/(1+$H$46)^3.5 + $F$76*$A112*(F$111/$G$46)/(1+$H$46)^4.5) + (($F$76*$A112*(F$111/$G$46)*(1+$H$44)/($H$46-$H$44))/(1+$H$46)^4.5) + $B$89)/$B$91)</f>
        <v/>
      </c>
    </row>
    <row r="113">
      <c r="A113" s="54" t="n">
        <v>0.9</v>
      </c>
      <c r="B113" s="40">
        <f>((($B$76*$A113*(B$111/$G$46)/(1+$H$46)^0.5 + $C$76*$A113*(B$111/$G$46)/(1+$H$46)^1.5 + $D$76*$A113*(B$111/$G$46)/(1+$H$46)^2.5 + $E$76*$A113*(B$111/$G$46)/(1+$H$46)^3.5 + $F$76*$A113*(B$111/$G$46)/(1+$H$46)^4.5) + (($F$76*$A113*(B$111/$G$46)*(1+$H$44)/($H$46-$H$44))/(1+$H$46)^4.5) + $B$89)/$B$91)</f>
        <v/>
      </c>
      <c r="C113" s="40">
        <f>((($B$76*$A113*(C$111/$G$46)/(1+$H$46)^0.5 + $C$76*$A113*(C$111/$G$46)/(1+$H$46)^1.5 + $D$76*$A113*(C$111/$G$46)/(1+$H$46)^2.5 + $E$76*$A113*(C$111/$G$46)/(1+$H$46)^3.5 + $F$76*$A113*(C$111/$G$46)/(1+$H$46)^4.5) + (($F$76*$A113*(C$111/$G$46)*(1+$H$44)/($H$46-$H$44))/(1+$H$46)^4.5) + $B$89)/$B$91)</f>
        <v/>
      </c>
      <c r="D113" s="40">
        <f>((($B$76*$A113*(D$111/$G$46)/(1+$H$46)^0.5 + $C$76*$A113*(D$111/$G$46)/(1+$H$46)^1.5 + $D$76*$A113*(D$111/$G$46)/(1+$H$46)^2.5 + $E$76*$A113*(D$111/$G$46)/(1+$H$46)^3.5 + $F$76*$A113*(D$111/$G$46)/(1+$H$46)^4.5) + (($F$76*$A113*(D$111/$G$46)*(1+$H$44)/($H$46-$H$44))/(1+$H$46)^4.5) + $B$89)/$B$91)</f>
        <v/>
      </c>
      <c r="E113" s="40">
        <f>((($B$76*$A113*(E$111/$G$46)/(1+$H$46)^0.5 + $C$76*$A113*(E$111/$G$46)/(1+$H$46)^1.5 + $D$76*$A113*(E$111/$G$46)/(1+$H$46)^2.5 + $E$76*$A113*(E$111/$G$46)/(1+$H$46)^3.5 + $F$76*$A113*(E$111/$G$46)/(1+$H$46)^4.5) + (($F$76*$A113*(E$111/$G$46)*(1+$H$44)/($H$46-$H$44))/(1+$H$46)^4.5) + $B$89)/$B$91)</f>
        <v/>
      </c>
      <c r="F113" s="40">
        <f>((($B$76*$A113*(F$111/$G$46)/(1+$H$46)^0.5 + $C$76*$A113*(F$111/$G$46)/(1+$H$46)^1.5 + $D$76*$A113*(F$111/$G$46)/(1+$H$46)^2.5 + $E$76*$A113*(F$111/$G$46)/(1+$H$46)^3.5 + $F$76*$A113*(F$111/$G$46)/(1+$H$46)^4.5) + (($F$76*$A113*(F$111/$G$46)*(1+$H$44)/($H$46-$H$44))/(1+$H$46)^4.5) + $B$89)/$B$91)</f>
        <v/>
      </c>
    </row>
    <row r="114">
      <c r="A114" s="55" t="n">
        <v>1</v>
      </c>
      <c r="B114" s="40">
        <f>((($B$76*$A114*(B$111/$G$46)/(1+$H$46)^0.5 + $C$76*$A114*(B$111/$G$46)/(1+$H$46)^1.5 + $D$76*$A114*(B$111/$G$46)/(1+$H$46)^2.5 + $E$76*$A114*(B$111/$G$46)/(1+$H$46)^3.5 + $F$76*$A114*(B$111/$G$46)/(1+$H$46)^4.5) + (($F$76*$A114*(B$111/$G$46)*(1+$H$44)/($H$46-$H$44))/(1+$H$46)^4.5) + $B$89)/$B$91)</f>
        <v/>
      </c>
      <c r="C114" s="40">
        <f>((($B$76*$A114*(C$111/$G$46)/(1+$H$46)^0.5 + $C$76*$A114*(C$111/$G$46)/(1+$H$46)^1.5 + $D$76*$A114*(C$111/$G$46)/(1+$H$46)^2.5 + $E$76*$A114*(C$111/$G$46)/(1+$H$46)^3.5 + $F$76*$A114*(C$111/$G$46)/(1+$H$46)^4.5) + (($F$76*$A114*(C$111/$G$46)*(1+$H$44)/($H$46-$H$44))/(1+$H$46)^4.5) + $B$89)/$B$91)</f>
        <v/>
      </c>
      <c r="D114" s="51">
        <f>((($B$76*$A114*(D$111/$G$46)/(1+$H$46)^0.5 + $C$76*$A114*(D$111/$G$46)/(1+$H$46)^1.5 + $D$76*$A114*(D$111/$G$46)/(1+$H$46)^2.5 + $E$76*$A114*(D$111/$G$46)/(1+$H$46)^3.5 + $F$76*$A114*(D$111/$G$46)/(1+$H$46)^4.5) + (($F$76*$A114*(D$111/$G$46)*(1+$H$44)/($H$46-$H$44))/(1+$H$46)^4.5) + $B$89)/$B$91)</f>
        <v/>
      </c>
      <c r="E114" s="40">
        <f>((($B$76*$A114*(E$111/$G$46)/(1+$H$46)^0.5 + $C$76*$A114*(E$111/$G$46)/(1+$H$46)^1.5 + $D$76*$A114*(E$111/$G$46)/(1+$H$46)^2.5 + $E$76*$A114*(E$111/$G$46)/(1+$H$46)^3.5 + $F$76*$A114*(E$111/$G$46)/(1+$H$46)^4.5) + (($F$76*$A114*(E$111/$G$46)*(1+$H$44)/($H$46-$H$44))/(1+$H$46)^4.5) + $B$89)/$B$91)</f>
        <v/>
      </c>
      <c r="F114" s="40">
        <f>((($B$76*$A114*(F$111/$G$46)/(1+$H$46)^0.5 + $C$76*$A114*(F$111/$G$46)/(1+$H$46)^1.5 + $D$76*$A114*(F$111/$G$46)/(1+$H$46)^2.5 + $E$76*$A114*(F$111/$G$46)/(1+$H$46)^3.5 + $F$76*$A114*(F$111/$G$46)/(1+$H$46)^4.5) + (($F$76*$A114*(F$111/$G$46)*(1+$H$44)/($H$46-$H$44))/(1+$H$46)^4.5) + $B$89)/$B$91)</f>
        <v/>
      </c>
    </row>
    <row r="115">
      <c r="A115" s="54" t="n">
        <v>1.1</v>
      </c>
      <c r="B115" s="40">
        <f>((($B$76*$A115*(B$111/$G$46)/(1+$H$46)^0.5 + $C$76*$A115*(B$111/$G$46)/(1+$H$46)^1.5 + $D$76*$A115*(B$111/$G$46)/(1+$H$46)^2.5 + $E$76*$A115*(B$111/$G$46)/(1+$H$46)^3.5 + $F$76*$A115*(B$111/$G$46)/(1+$H$46)^4.5) + (($F$76*$A115*(B$111/$G$46)*(1+$H$44)/($H$46-$H$44))/(1+$H$46)^4.5) + $B$89)/$B$91)</f>
        <v/>
      </c>
      <c r="C115" s="40">
        <f>((($B$76*$A115*(C$111/$G$46)/(1+$H$46)^0.5 + $C$76*$A115*(C$111/$G$46)/(1+$H$46)^1.5 + $D$76*$A115*(C$111/$G$46)/(1+$H$46)^2.5 + $E$76*$A115*(C$111/$G$46)/(1+$H$46)^3.5 + $F$76*$A115*(C$111/$G$46)/(1+$H$46)^4.5) + (($F$76*$A115*(C$111/$G$46)*(1+$H$44)/($H$46-$H$44))/(1+$H$46)^4.5) + $B$89)/$B$91)</f>
        <v/>
      </c>
      <c r="D115" s="40">
        <f>((($B$76*$A115*(D$111/$G$46)/(1+$H$46)^0.5 + $C$76*$A115*(D$111/$G$46)/(1+$H$46)^1.5 + $D$76*$A115*(D$111/$G$46)/(1+$H$46)^2.5 + $E$76*$A115*(D$111/$G$46)/(1+$H$46)^3.5 + $F$76*$A115*(D$111/$G$46)/(1+$H$46)^4.5) + (($F$76*$A115*(D$111/$G$46)*(1+$H$44)/($H$46-$H$44))/(1+$H$46)^4.5) + $B$89)/$B$91)</f>
        <v/>
      </c>
      <c r="E115" s="40">
        <f>((($B$76*$A115*(E$111/$G$46)/(1+$H$46)^0.5 + $C$76*$A115*(E$111/$G$46)/(1+$H$46)^1.5 + $D$76*$A115*(E$111/$G$46)/(1+$H$46)^2.5 + $E$76*$A115*(E$111/$G$46)/(1+$H$46)^3.5 + $F$76*$A115*(E$111/$G$46)/(1+$H$46)^4.5) + (($F$76*$A115*(E$111/$G$46)*(1+$H$44)/($H$46-$H$44))/(1+$H$46)^4.5) + $B$89)/$B$91)</f>
        <v/>
      </c>
      <c r="F115" s="40">
        <f>((($B$76*$A115*(F$111/$G$46)/(1+$H$46)^0.5 + $C$76*$A115*(F$111/$G$46)/(1+$H$46)^1.5 + $D$76*$A115*(F$111/$G$46)/(1+$H$46)^2.5 + $E$76*$A115*(F$111/$G$46)/(1+$H$46)^3.5 + $F$76*$A115*(F$111/$G$46)/(1+$H$46)^4.5) + (($F$76*$A115*(F$111/$G$46)*(1+$H$44)/($H$46-$H$44))/(1+$H$46)^4.5) + $B$89)/$B$91)</f>
        <v/>
      </c>
    </row>
    <row r="116">
      <c r="A116" s="54" t="n">
        <v>1.2</v>
      </c>
      <c r="B116" s="40">
        <f>((($B$76*$A116*(B$111/$G$46)/(1+$H$46)^0.5 + $C$76*$A116*(B$111/$G$46)/(1+$H$46)^1.5 + $D$76*$A116*(B$111/$G$46)/(1+$H$46)^2.5 + $E$76*$A116*(B$111/$G$46)/(1+$H$46)^3.5 + $F$76*$A116*(B$111/$G$46)/(1+$H$46)^4.5) + (($F$76*$A116*(B$111/$G$46)*(1+$H$44)/($H$46-$H$44))/(1+$H$46)^4.5) + $B$89)/$B$91)</f>
        <v/>
      </c>
      <c r="C116" s="40">
        <f>((($B$76*$A116*(C$111/$G$46)/(1+$H$46)^0.5 + $C$76*$A116*(C$111/$G$46)/(1+$H$46)^1.5 + $D$76*$A116*(C$111/$G$46)/(1+$H$46)^2.5 + $E$76*$A116*(C$111/$G$46)/(1+$H$46)^3.5 + $F$76*$A116*(C$111/$G$46)/(1+$H$46)^4.5) + (($F$76*$A116*(C$111/$G$46)*(1+$H$44)/($H$46-$H$44))/(1+$H$46)^4.5) + $B$89)/$B$91)</f>
        <v/>
      </c>
      <c r="D116" s="40">
        <f>((($B$76*$A116*(D$111/$G$46)/(1+$H$46)^0.5 + $C$76*$A116*(D$111/$G$46)/(1+$H$46)^1.5 + $D$76*$A116*(D$111/$G$46)/(1+$H$46)^2.5 + $E$76*$A116*(D$111/$G$46)/(1+$H$46)^3.5 + $F$76*$A116*(D$111/$G$46)/(1+$H$46)^4.5) + (($F$76*$A116*(D$111/$G$46)*(1+$H$44)/($H$46-$H$44))/(1+$H$46)^4.5) + $B$89)/$B$91)</f>
        <v/>
      </c>
      <c r="E116" s="40">
        <f>((($B$76*$A116*(E$111/$G$46)/(1+$H$46)^0.5 + $C$76*$A116*(E$111/$G$46)/(1+$H$46)^1.5 + $D$76*$A116*(E$111/$G$46)/(1+$H$46)^2.5 + $E$76*$A116*(E$111/$G$46)/(1+$H$46)^3.5 + $F$76*$A116*(E$111/$G$46)/(1+$H$46)^4.5) + (($F$76*$A116*(E$111/$G$46)*(1+$H$44)/($H$46-$H$44))/(1+$H$46)^4.5) + $B$89)/$B$91)</f>
        <v/>
      </c>
      <c r="F116" s="40">
        <f>((($B$76*$A116*(F$111/$G$46)/(1+$H$46)^0.5 + $C$76*$A116*(F$111/$G$46)/(1+$H$46)^1.5 + $D$76*$A116*(F$111/$G$46)/(1+$H$46)^2.5 + $E$76*$A116*(F$111/$G$46)/(1+$H$46)^3.5 + $F$76*$A116*(F$111/$G$46)/(1+$H$46)^4.5) + (($F$76*$A116*(F$111/$G$46)*(1+$H$44)/($H$46-$H$44))/(1+$H$46)^4.5) + $B$89)/$B$91)</f>
        <v/>
      </c>
    </row>
    <row r="120">
      <c r="A120" s="18" t="inlineStr">
        <is>
          <t>TABLE 3: IMPLIED SHARE PRICE ($) - EQUITY BETA vs. RISK-FREE RATE (Rf)</t>
        </is>
      </c>
      <c r="B120" s="19" t="n"/>
      <c r="C120" s="19" t="n"/>
      <c r="D120" s="19" t="n"/>
      <c r="E120" s="19" t="n"/>
      <c r="F120" s="19" t="n"/>
    </row>
    <row r="121">
      <c r="A121" s="17" t="inlineStr">
        <is>
          <t>Beta \ Risk-Free Rate</t>
        </is>
      </c>
      <c r="B121" s="47">
        <f>'WACC Build'!$B$5-0.01</f>
        <v/>
      </c>
      <c r="C121" s="47">
        <f>'WACC Build'!$B$5-0.005</f>
        <v/>
      </c>
      <c r="D121" s="48">
        <f>'WACC Build'!$B$5</f>
        <v/>
      </c>
      <c r="E121" s="47">
        <f>'WACC Build'!$B$5+0.005</f>
        <v/>
      </c>
      <c r="F121" s="47">
        <f>'WACC Build'!$B$5+0.01</f>
        <v/>
      </c>
    </row>
    <row r="122">
      <c r="A122" s="56">
        <f>'WACC Build'!$B$6-0.20</f>
        <v/>
      </c>
      <c r="B122" s="40">
        <f>((($B$76/(1+((B$121+$A122*$B$17)*('WACC Build'!$C$24) + ('WACC Build'!$B$13)*('WACC Build'!$C$25)))^0.5 + $C$76/(1+((B$121+$A122*$B$17)*('WACC Build'!$C$24) + ('WACC Build'!$B$13)*('WACC Build'!$C$25)))^1.5 + $D$76/(1+((B$121+$A122*$B$17)*('WACC Build'!$C$24) + ('WACC Build'!$B$13)*('WACC Build'!$C$25)))^2.5 + $E$76/(1+((B$121+$A122*$B$17)*('WACC Build'!$C$24) + ('WACC Build'!$B$13)*('WACC Build'!$C$25)))^3.5 + $F$76/(1+((B$121+$A122*$B$17)*('WACC Build'!$C$24) + ('WACC Build'!$B$13)*('WACC Build'!$C$25)))^4.5) + (($F$76*(1+$H$44)/(((B$121+$A122*$B$17)*('WACC Build'!$C$24) + ('WACC Build'!$B$13)*('WACC Build'!$C$25))-$H$44))/(1+((B$121+$A122*$B$17)*('WACC Build'!$C$24) + ('WACC Build'!$B$13)*('WACC Build'!$C$25)))^4.5) + $B$89)/$B$91)</f>
        <v/>
      </c>
      <c r="C122" s="40">
        <f>((($B$76/(1+((C$121+$A122*$B$17)*('WACC Build'!$C$24) + ('WACC Build'!$B$13)*('WACC Build'!$C$25)))^0.5 + $C$76/(1+((C$121+$A122*$B$17)*('WACC Build'!$C$24) + ('WACC Build'!$B$13)*('WACC Build'!$C$25)))^1.5 + $D$76/(1+((C$121+$A122*$B$17)*('WACC Build'!$C$24) + ('WACC Build'!$B$13)*('WACC Build'!$C$25)))^2.5 + $E$76/(1+((C$121+$A122*$B$17)*('WACC Build'!$C$24) + ('WACC Build'!$B$13)*('WACC Build'!$C$25)))^3.5 + $F$76/(1+((C$121+$A122*$B$17)*('WACC Build'!$C$24) + ('WACC Build'!$B$13)*('WACC Build'!$C$25)))^4.5) + (($F$76*(1+$H$44)/(((C$121+$A122*$B$17)*('WACC Build'!$C$24) + ('WACC Build'!$B$13)*('WACC Build'!$C$25))-$H$44))/(1+((C$121+$A122*$B$17)*('WACC Build'!$C$24) + ('WACC Build'!$B$13)*('WACC Build'!$C$25)))^4.5) + $B$89)/$B$91)</f>
        <v/>
      </c>
      <c r="D122" s="40">
        <f>((($B$76/(1+((D$121+$A122*$B$17)*('WACC Build'!$C$24) + ('WACC Build'!$B$13)*('WACC Build'!$C$25)))^0.5 + $C$76/(1+((D$121+$A122*$B$17)*('WACC Build'!$C$24) + ('WACC Build'!$B$13)*('WACC Build'!$C$25)))^1.5 + $D$76/(1+((D$121+$A122*$B$17)*('WACC Build'!$C$24) + ('WACC Build'!$B$13)*('WACC Build'!$C$25)))^2.5 + $E$76/(1+((D$121+$A122*$B$17)*('WACC Build'!$C$24) + ('WACC Build'!$B$13)*('WACC Build'!$C$25)))^3.5 + $F$76/(1+((D$121+$A122*$B$17)*('WACC Build'!$C$24) + ('WACC Build'!$B$13)*('WACC Build'!$C$25)))^4.5) + (($F$76*(1+$H$44)/(((D$121+$A122*$B$17)*('WACC Build'!$C$24) + ('WACC Build'!$B$13)*('WACC Build'!$C$25))-$H$44))/(1+((D$121+$A122*$B$17)*('WACC Build'!$C$24) + ('WACC Build'!$B$13)*('WACC Build'!$C$25)))^4.5) + $B$89)/$B$91)</f>
        <v/>
      </c>
      <c r="E122" s="40">
        <f>((($B$76/(1+((E$121+$A122*$B$17)*('WACC Build'!$C$24) + ('WACC Build'!$B$13)*('WACC Build'!$C$25)))^0.5 + $C$76/(1+((E$121+$A122*$B$17)*('WACC Build'!$C$24) + ('WACC Build'!$B$13)*('WACC Build'!$C$25)))^1.5 + $D$76/(1+((E$121+$A122*$B$17)*('WACC Build'!$C$24) + ('WACC Build'!$B$13)*('WACC Build'!$C$25)))^2.5 + $E$76/(1+((E$121+$A122*$B$17)*('WACC Build'!$C$24) + ('WACC Build'!$B$13)*('WACC Build'!$C$25)))^3.5 + $F$76/(1+((E$121+$A122*$B$17)*('WACC Build'!$C$24) + ('WACC Build'!$B$13)*('WACC Build'!$C$25)))^4.5) + (($F$76*(1+$H$44)/(((E$121+$A122*$B$17)*('WACC Build'!$C$24) + ('WACC Build'!$B$13)*('WACC Build'!$C$25))-$H$44))/(1+((E$121+$A122*$B$17)*('WACC Build'!$C$24) + ('WACC Build'!$B$13)*('WACC Build'!$C$25)))^4.5) + $B$89)/$B$91)</f>
        <v/>
      </c>
      <c r="F122" s="40">
        <f>((($B$76/(1+((F$121+$A122*$B$17)*('WACC Build'!$C$24) + ('WACC Build'!$B$13)*('WACC Build'!$C$25)))^0.5 + $C$76/(1+((F$121+$A122*$B$17)*('WACC Build'!$C$24) + ('WACC Build'!$B$13)*('WACC Build'!$C$25)))^1.5 + $D$76/(1+((F$121+$A122*$B$17)*('WACC Build'!$C$24) + ('WACC Build'!$B$13)*('WACC Build'!$C$25)))^2.5 + $E$76/(1+((F$121+$A122*$B$17)*('WACC Build'!$C$24) + ('WACC Build'!$B$13)*('WACC Build'!$C$25)))^3.5 + $F$76/(1+((F$121+$A122*$B$17)*('WACC Build'!$C$24) + ('WACC Build'!$B$13)*('WACC Build'!$C$25)))^4.5) + (($F$76*(1+$H$44)/(((F$121+$A122*$B$17)*('WACC Build'!$C$24) + ('WACC Build'!$B$13)*('WACC Build'!$C$25))-$H$44))/(1+((F$121+$A122*$B$17)*('WACC Build'!$C$24) + ('WACC Build'!$B$13)*('WACC Build'!$C$25)))^4.5) + $B$89)/$B$91)</f>
        <v/>
      </c>
    </row>
    <row r="123">
      <c r="A123" s="56">
        <f>'WACC Build'!$B$6-0.10</f>
        <v/>
      </c>
      <c r="B123" s="40">
        <f>((($B$76/(1+((B$121+$A123*$B$17)*('WACC Build'!$C$24) + ('WACC Build'!$B$13)*('WACC Build'!$C$25)))^0.5 + $C$76/(1+((B$121+$A123*$B$17)*('WACC Build'!$C$24) + ('WACC Build'!$B$13)*('WACC Build'!$C$25)))^1.5 + $D$76/(1+((B$121+$A123*$B$17)*('WACC Build'!$C$24) + ('WACC Build'!$B$13)*('WACC Build'!$C$25)))^2.5 + $E$76/(1+((B$121+$A123*$B$17)*('WACC Build'!$C$24) + ('WACC Build'!$B$13)*('WACC Build'!$C$25)))^3.5 + $F$76/(1+((B$121+$A123*$B$17)*('WACC Build'!$C$24) + ('WACC Build'!$B$13)*('WACC Build'!$C$25)))^4.5) + (($F$76*(1+$H$44)/(((B$121+$A123*$B$17)*('WACC Build'!$C$24) + ('WACC Build'!$B$13)*('WACC Build'!$C$25))-$H$44))/(1+((B$121+$A123*$B$17)*('WACC Build'!$C$24) + ('WACC Build'!$B$13)*('WACC Build'!$C$25)))^4.5) + $B$89)/$B$91)</f>
        <v/>
      </c>
      <c r="C123" s="40">
        <f>((($B$76/(1+((C$121+$A123*$B$17)*('WACC Build'!$C$24) + ('WACC Build'!$B$13)*('WACC Build'!$C$25)))^0.5 + $C$76/(1+((C$121+$A123*$B$17)*('WACC Build'!$C$24) + ('WACC Build'!$B$13)*('WACC Build'!$C$25)))^1.5 + $D$76/(1+((C$121+$A123*$B$17)*('WACC Build'!$C$24) + ('WACC Build'!$B$13)*('WACC Build'!$C$25)))^2.5 + $E$76/(1+((C$121+$A123*$B$17)*('WACC Build'!$C$24) + ('WACC Build'!$B$13)*('WACC Build'!$C$25)))^3.5 + $F$76/(1+((C$121+$A123*$B$17)*('WACC Build'!$C$24) + ('WACC Build'!$B$13)*('WACC Build'!$C$25)))^4.5) + (($F$76*(1+$H$44)/(((C$121+$A123*$B$17)*('WACC Build'!$C$24) + ('WACC Build'!$B$13)*('WACC Build'!$C$25))-$H$44))/(1+((C$121+$A123*$B$17)*('WACC Build'!$C$24) + ('WACC Build'!$B$13)*('WACC Build'!$C$25)))^4.5) + $B$89)/$B$91)</f>
        <v/>
      </c>
      <c r="D123" s="40">
        <f>((($B$76/(1+((D$121+$A123*$B$17)*('WACC Build'!$C$24) + ('WACC Build'!$B$13)*('WACC Build'!$C$25)))^0.5 + $C$76/(1+((D$121+$A123*$B$17)*('WACC Build'!$C$24) + ('WACC Build'!$B$13)*('WACC Build'!$C$25)))^1.5 + $D$76/(1+((D$121+$A123*$B$17)*('WACC Build'!$C$24) + ('WACC Build'!$B$13)*('WACC Build'!$C$25)))^2.5 + $E$76/(1+((D$121+$A123*$B$17)*('WACC Build'!$C$24) + ('WACC Build'!$B$13)*('WACC Build'!$C$25)))^3.5 + $F$76/(1+((D$121+$A123*$B$17)*('WACC Build'!$C$24) + ('WACC Build'!$B$13)*('WACC Build'!$C$25)))^4.5) + (($F$76*(1+$H$44)/(((D$121+$A123*$B$17)*('WACC Build'!$C$24) + ('WACC Build'!$B$13)*('WACC Build'!$C$25))-$H$44))/(1+((D$121+$A123*$B$17)*('WACC Build'!$C$24) + ('WACC Build'!$B$13)*('WACC Build'!$C$25)))^4.5) + $B$89)/$B$91)</f>
        <v/>
      </c>
      <c r="E123" s="40">
        <f>((($B$76/(1+((E$121+$A123*$B$17)*('WACC Build'!$C$24) + ('WACC Build'!$B$13)*('WACC Build'!$C$25)))^0.5 + $C$76/(1+((E$121+$A123*$B$17)*('WACC Build'!$C$24) + ('WACC Build'!$B$13)*('WACC Build'!$C$25)))^1.5 + $D$76/(1+((E$121+$A123*$B$17)*('WACC Build'!$C$24) + ('WACC Build'!$B$13)*('WACC Build'!$C$25)))^2.5 + $E$76/(1+((E$121+$A123*$B$17)*('WACC Build'!$C$24) + ('WACC Build'!$B$13)*('WACC Build'!$C$25)))^3.5 + $F$76/(1+((E$121+$A123*$B$17)*('WACC Build'!$C$24) + ('WACC Build'!$B$13)*('WACC Build'!$C$25)))^4.5) + (($F$76*(1+$H$44)/(((E$121+$A123*$B$17)*('WACC Build'!$C$24) + ('WACC Build'!$B$13)*('WACC Build'!$C$25))-$H$44))/(1+((E$121+$A123*$B$17)*('WACC Build'!$C$24) + ('WACC Build'!$B$13)*('WACC Build'!$C$25)))^4.5) + $B$89)/$B$91)</f>
        <v/>
      </c>
      <c r="F123" s="40">
        <f>((($B$76/(1+((F$121+$A123*$B$17)*('WACC Build'!$C$24) + ('WACC Build'!$B$13)*('WACC Build'!$C$25)))^0.5 + $C$76/(1+((F$121+$A123*$B$17)*('WACC Build'!$C$24) + ('WACC Build'!$B$13)*('WACC Build'!$C$25)))^1.5 + $D$76/(1+((F$121+$A123*$B$17)*('WACC Build'!$C$24) + ('WACC Build'!$B$13)*('WACC Build'!$C$25)))^2.5 + $E$76/(1+((F$121+$A123*$B$17)*('WACC Build'!$C$24) + ('WACC Build'!$B$13)*('WACC Build'!$C$25)))^3.5 + $F$76/(1+((F$121+$A123*$B$17)*('WACC Build'!$C$24) + ('WACC Build'!$B$13)*('WACC Build'!$C$25)))^4.5) + (($F$76*(1+$H$44)/(((F$121+$A123*$B$17)*('WACC Build'!$C$24) + ('WACC Build'!$B$13)*('WACC Build'!$C$25))-$H$44))/(1+((F$121+$A123*$B$17)*('WACC Build'!$C$24) + ('WACC Build'!$B$13)*('WACC Build'!$C$25)))^4.5) + $B$89)/$B$91)</f>
        <v/>
      </c>
    </row>
    <row r="124">
      <c r="A124" s="57">
        <f>'WACC Build'!$B$6</f>
        <v/>
      </c>
      <c r="B124" s="40">
        <f>((($B$76/(1+((B$121+$A124*$B$17)*('WACC Build'!$C$24) + ('WACC Build'!$B$13)*('WACC Build'!$C$25)))^0.5 + $C$76/(1+((B$121+$A124*$B$17)*('WACC Build'!$C$24) + ('WACC Build'!$B$13)*('WACC Build'!$C$25)))^1.5 + $D$76/(1+((B$121+$A124*$B$17)*('WACC Build'!$C$24) + ('WACC Build'!$B$13)*('WACC Build'!$C$25)))^2.5 + $E$76/(1+((B$121+$A124*$B$17)*('WACC Build'!$C$24) + ('WACC Build'!$B$13)*('WACC Build'!$C$25)))^3.5 + $F$76/(1+((B$121+$A124*$B$17)*('WACC Build'!$C$24) + ('WACC Build'!$B$13)*('WACC Build'!$C$25)))^4.5) + (($F$76*(1+$H$44)/(((B$121+$A124*$B$17)*('WACC Build'!$C$24) + ('WACC Build'!$B$13)*('WACC Build'!$C$25))-$H$44))/(1+((B$121+$A124*$B$17)*('WACC Build'!$C$24) + ('WACC Build'!$B$13)*('WACC Build'!$C$25)))^4.5) + $B$89)/$B$91)</f>
        <v/>
      </c>
      <c r="C124" s="40">
        <f>((($B$76/(1+((C$121+$A124*$B$17)*('WACC Build'!$C$24) + ('WACC Build'!$B$13)*('WACC Build'!$C$25)))^0.5 + $C$76/(1+((C$121+$A124*$B$17)*('WACC Build'!$C$24) + ('WACC Build'!$B$13)*('WACC Build'!$C$25)))^1.5 + $D$76/(1+((C$121+$A124*$B$17)*('WACC Build'!$C$24) + ('WACC Build'!$B$13)*('WACC Build'!$C$25)))^2.5 + $E$76/(1+((C$121+$A124*$B$17)*('WACC Build'!$C$24) + ('WACC Build'!$B$13)*('WACC Build'!$C$25)))^3.5 + $F$76/(1+((C$121+$A124*$B$17)*('WACC Build'!$C$24) + ('WACC Build'!$B$13)*('WACC Build'!$C$25)))^4.5) + (($F$76*(1+$H$44)/(((C$121+$A124*$B$17)*('WACC Build'!$C$24) + ('WACC Build'!$B$13)*('WACC Build'!$C$25))-$H$44))/(1+((C$121+$A124*$B$17)*('WACC Build'!$C$24) + ('WACC Build'!$B$13)*('WACC Build'!$C$25)))^4.5) + $B$89)/$B$91)</f>
        <v/>
      </c>
      <c r="D124" s="51">
        <f>((($B$76/(1+((D$121+$A124*$B$17)*('WACC Build'!$C$24) + ('WACC Build'!$B$13)*('WACC Build'!$C$25)))^0.5 + $C$76/(1+((D$121+$A124*$B$17)*('WACC Build'!$C$24) + ('WACC Build'!$B$13)*('WACC Build'!$C$25)))^1.5 + $D$76/(1+((D$121+$A124*$B$17)*('WACC Build'!$C$24) + ('WACC Build'!$B$13)*('WACC Build'!$C$25)))^2.5 + $E$76/(1+((D$121+$A124*$B$17)*('WACC Build'!$C$24) + ('WACC Build'!$B$13)*('WACC Build'!$C$25)))^3.5 + $F$76/(1+((D$121+$A124*$B$17)*('WACC Build'!$C$24) + ('WACC Build'!$B$13)*('WACC Build'!$C$25)))^4.5) + (($F$76*(1+$H$44)/(((D$121+$A124*$B$17)*('WACC Build'!$C$24) + ('WACC Build'!$B$13)*('WACC Build'!$C$25))-$H$44))/(1+((D$121+$A124*$B$17)*('WACC Build'!$C$24) + ('WACC Build'!$B$13)*('WACC Build'!$C$25)))^4.5) + $B$89)/$B$91)</f>
        <v/>
      </c>
      <c r="E124" s="40">
        <f>((($B$76/(1+((E$121+$A124*$B$17)*('WACC Build'!$C$24) + ('WACC Build'!$B$13)*('WACC Build'!$C$25)))^0.5 + $C$76/(1+((E$121+$A124*$B$17)*('WACC Build'!$C$24) + ('WACC Build'!$B$13)*('WACC Build'!$C$25)))^1.5 + $D$76/(1+((E$121+$A124*$B$17)*('WACC Build'!$C$24) + ('WACC Build'!$B$13)*('WACC Build'!$C$25)))^2.5 + $E$76/(1+((E$121+$A124*$B$17)*('WACC Build'!$C$24) + ('WACC Build'!$B$13)*('WACC Build'!$C$25)))^3.5 + $F$76/(1+((E$121+$A124*$B$17)*('WACC Build'!$C$24) + ('WACC Build'!$B$13)*('WACC Build'!$C$25)))^4.5) + (($F$76*(1+$H$44)/(((E$121+$A124*$B$17)*('WACC Build'!$C$24) + ('WACC Build'!$B$13)*('WACC Build'!$C$25))-$H$44))/(1+((E$121+$A124*$B$17)*('WACC Build'!$C$24) + ('WACC Build'!$B$13)*('WACC Build'!$C$25)))^4.5) + $B$89)/$B$91)</f>
        <v/>
      </c>
      <c r="F124" s="40">
        <f>((($B$76/(1+((F$121+$A124*$B$17)*('WACC Build'!$C$24) + ('WACC Build'!$B$13)*('WACC Build'!$C$25)))^0.5 + $C$76/(1+((F$121+$A124*$B$17)*('WACC Build'!$C$24) + ('WACC Build'!$B$13)*('WACC Build'!$C$25)))^1.5 + $D$76/(1+((F$121+$A124*$B$17)*('WACC Build'!$C$24) + ('WACC Build'!$B$13)*('WACC Build'!$C$25)))^2.5 + $E$76/(1+((F$121+$A124*$B$17)*('WACC Build'!$C$24) + ('WACC Build'!$B$13)*('WACC Build'!$C$25)))^3.5 + $F$76/(1+((F$121+$A124*$B$17)*('WACC Build'!$C$24) + ('WACC Build'!$B$13)*('WACC Build'!$C$25)))^4.5) + (($F$76*(1+$H$44)/(((F$121+$A124*$B$17)*('WACC Build'!$C$24) + ('WACC Build'!$B$13)*('WACC Build'!$C$25))-$H$44))/(1+((F$121+$A124*$B$17)*('WACC Build'!$C$24) + ('WACC Build'!$B$13)*('WACC Build'!$C$25)))^4.5) + $B$89)/$B$91)</f>
        <v/>
      </c>
    </row>
    <row r="125">
      <c r="A125" s="56">
        <f>'WACC Build'!$B$6+0.10</f>
        <v/>
      </c>
      <c r="B125" s="40">
        <f>((($B$76/(1+((B$121+$A125*$B$17)*('WACC Build'!$C$24) + ('WACC Build'!$B$13)*('WACC Build'!$C$25)))^0.5 + $C$76/(1+((B$121+$A125*$B$17)*('WACC Build'!$C$24) + ('WACC Build'!$B$13)*('WACC Build'!$C$25)))^1.5 + $D$76/(1+((B$121+$A125*$B$17)*('WACC Build'!$C$24) + ('WACC Build'!$B$13)*('WACC Build'!$C$25)))^2.5 + $E$76/(1+((B$121+$A125*$B$17)*('WACC Build'!$C$24) + ('WACC Build'!$B$13)*('WACC Build'!$C$25)))^3.5 + $F$76/(1+((B$121+$A125*$B$17)*('WACC Build'!$C$24) + ('WACC Build'!$B$13)*('WACC Build'!$C$25)))^4.5) + (($F$76*(1+$H$44)/(((B$121+$A125*$B$17)*('WACC Build'!$C$24) + ('WACC Build'!$B$13)*('WACC Build'!$C$25))-$H$44))/(1+((B$121+$A125*$B$17)*('WACC Build'!$C$24) + ('WACC Build'!$B$13)*('WACC Build'!$C$25)))^4.5) + $B$89)/$B$91)</f>
        <v/>
      </c>
      <c r="C125" s="40">
        <f>((($B$76/(1+((C$121+$A125*$B$17)*('WACC Build'!$C$24) + ('WACC Build'!$B$13)*('WACC Build'!$C$25)))^0.5 + $C$76/(1+((C$121+$A125*$B$17)*('WACC Build'!$C$24) + ('WACC Build'!$B$13)*('WACC Build'!$C$25)))^1.5 + $D$76/(1+((C$121+$A125*$B$17)*('WACC Build'!$C$24) + ('WACC Build'!$B$13)*('WACC Build'!$C$25)))^2.5 + $E$76/(1+((C$121+$A125*$B$17)*('WACC Build'!$C$24) + ('WACC Build'!$B$13)*('WACC Build'!$C$25)))^3.5 + $F$76/(1+((C$121+$A125*$B$17)*('WACC Build'!$C$24) + ('WACC Build'!$B$13)*('WACC Build'!$C$25)))^4.5) + (($F$76*(1+$H$44)/(((C$121+$A125*$B$17)*('WACC Build'!$C$24) + ('WACC Build'!$B$13)*('WACC Build'!$C$25))-$H$44))/(1+((C$121+$A125*$B$17)*('WACC Build'!$C$24) + ('WACC Build'!$B$13)*('WACC Build'!$C$25)))^4.5) + $B$89)/$B$91)</f>
        <v/>
      </c>
      <c r="D125" s="40">
        <f>((($B$76/(1+((D$121+$A125*$B$17)*('WACC Build'!$C$24) + ('WACC Build'!$B$13)*('WACC Build'!$C$25)))^0.5 + $C$76/(1+((D$121+$A125*$B$17)*('WACC Build'!$C$24) + ('WACC Build'!$B$13)*('WACC Build'!$C$25)))^1.5 + $D$76/(1+((D$121+$A125*$B$17)*('WACC Build'!$C$24) + ('WACC Build'!$B$13)*('WACC Build'!$C$25)))^2.5 + $E$76/(1+((D$121+$A125*$B$17)*('WACC Build'!$C$24) + ('WACC Build'!$B$13)*('WACC Build'!$C$25)))^3.5 + $F$76/(1+((D$121+$A125*$B$17)*('WACC Build'!$C$24) + ('WACC Build'!$B$13)*('WACC Build'!$C$25)))^4.5) + (($F$76*(1+$H$44)/(((D$121+$A125*$B$17)*('WACC Build'!$C$24) + ('WACC Build'!$B$13)*('WACC Build'!$C$25))-$H$44))/(1+((D$121+$A125*$B$17)*('WACC Build'!$C$24) + ('WACC Build'!$B$13)*('WACC Build'!$C$25)))^4.5) + $B$89)/$B$91)</f>
        <v/>
      </c>
      <c r="E125" s="40">
        <f>((($B$76/(1+((E$121+$A125*$B$17)*('WACC Build'!$C$24) + ('WACC Build'!$B$13)*('WACC Build'!$C$25)))^0.5 + $C$76/(1+((E$121+$A125*$B$17)*('WACC Build'!$C$24) + ('WACC Build'!$B$13)*('WACC Build'!$C$25)))^1.5 + $D$76/(1+((E$121+$A125*$B$17)*('WACC Build'!$C$24) + ('WACC Build'!$B$13)*('WACC Build'!$C$25)))^2.5 + $E$76/(1+((E$121+$A125*$B$17)*('WACC Build'!$C$24) + ('WACC Build'!$B$13)*('WACC Build'!$C$25)))^3.5 + $F$76/(1+((E$121+$A125*$B$17)*('WACC Build'!$C$24) + ('WACC Build'!$B$13)*('WACC Build'!$C$25)))^4.5) + (($F$76*(1+$H$44)/(((E$121+$A125*$B$17)*('WACC Build'!$C$24) + ('WACC Build'!$B$13)*('WACC Build'!$C$25))-$H$44))/(1+((E$121+$A125*$B$17)*('WACC Build'!$C$24) + ('WACC Build'!$B$13)*('WACC Build'!$C$25)))^4.5) + $B$89)/$B$91)</f>
        <v/>
      </c>
      <c r="F125" s="40">
        <f>((($B$76/(1+((F$121+$A125*$B$17)*('WACC Build'!$C$24) + ('WACC Build'!$B$13)*('WACC Build'!$C$25)))^0.5 + $C$76/(1+((F$121+$A125*$B$17)*('WACC Build'!$C$24) + ('WACC Build'!$B$13)*('WACC Build'!$C$25)))^1.5 + $D$76/(1+((F$121+$A125*$B$17)*('WACC Build'!$C$24) + ('WACC Build'!$B$13)*('WACC Build'!$C$25)))^2.5 + $E$76/(1+((F$121+$A125*$B$17)*('WACC Build'!$C$24) + ('WACC Build'!$B$13)*('WACC Build'!$C$25)))^3.5 + $F$76/(1+((F$121+$A125*$B$17)*('WACC Build'!$C$24) + ('WACC Build'!$B$13)*('WACC Build'!$C$25)))^4.5) + (($F$76*(1+$H$44)/(((F$121+$A125*$B$17)*('WACC Build'!$C$24) + ('WACC Build'!$B$13)*('WACC Build'!$C$25))-$H$44))/(1+((F$121+$A125*$B$17)*('WACC Build'!$C$24) + ('WACC Build'!$B$13)*('WACC Build'!$C$25)))^4.5) + $B$89)/$B$91)</f>
        <v/>
      </c>
    </row>
    <row r="126">
      <c r="A126" s="56">
        <f>'WACC Build'!$B$6+0.20</f>
        <v/>
      </c>
      <c r="B126" s="40">
        <f>((($B$76/(1+((B$121+$A126*$B$17)*('WACC Build'!$C$24) + ('WACC Build'!$B$13)*('WACC Build'!$C$25)))^0.5 + $C$76/(1+((B$121+$A126*$B$17)*('WACC Build'!$C$24) + ('WACC Build'!$B$13)*('WACC Build'!$C$25)))^1.5 + $D$76/(1+((B$121+$A126*$B$17)*('WACC Build'!$C$24) + ('WACC Build'!$B$13)*('WACC Build'!$C$25)))^2.5 + $E$76/(1+((B$121+$A126*$B$17)*('WACC Build'!$C$24) + ('WACC Build'!$B$13)*('WACC Build'!$C$25)))^3.5 + $F$76/(1+((B$121+$A126*$B$17)*('WACC Build'!$C$24) + ('WACC Build'!$B$13)*('WACC Build'!$C$25)))^4.5) + (($F$76*(1+$H$44)/(((B$121+$A126*$B$17)*('WACC Build'!$C$24) + ('WACC Build'!$B$13)*('WACC Build'!$C$25))-$H$44))/(1+((B$121+$A126*$B$17)*('WACC Build'!$C$24) + ('WACC Build'!$B$13)*('WACC Build'!$C$25)))^4.5) + $B$89)/$B$91)</f>
        <v/>
      </c>
      <c r="C126" s="40">
        <f>((($B$76/(1+((C$121+$A126*$B$17)*('WACC Build'!$C$24) + ('WACC Build'!$B$13)*('WACC Build'!$C$25)))^0.5 + $C$76/(1+((C$121+$A126*$B$17)*('WACC Build'!$C$24) + ('WACC Build'!$B$13)*('WACC Build'!$C$25)))^1.5 + $D$76/(1+((C$121+$A126*$B$17)*('WACC Build'!$C$24) + ('WACC Build'!$B$13)*('WACC Build'!$C$25)))^2.5 + $E$76/(1+((C$121+$A126*$B$17)*('WACC Build'!$C$24) + ('WACC Build'!$B$13)*('WACC Build'!$C$25)))^3.5 + $F$76/(1+((C$121+$A126*$B$17)*('WACC Build'!$C$24) + ('WACC Build'!$B$13)*('WACC Build'!$C$25)))^4.5) + (($F$76*(1+$H$44)/(((C$121+$A126*$B$17)*('WACC Build'!$C$24) + ('WACC Build'!$B$13)*('WACC Build'!$C$25))-$H$44))/(1+((C$121+$A126*$B$17)*('WACC Build'!$C$24) + ('WACC Build'!$B$13)*('WACC Build'!$C$25)))^4.5) + $B$89)/$B$91)</f>
        <v/>
      </c>
      <c r="D126" s="40">
        <f>((($B$76/(1+((D$121+$A126*$B$17)*('WACC Build'!$C$24) + ('WACC Build'!$B$13)*('WACC Build'!$C$25)))^0.5 + $C$76/(1+((D$121+$A126*$B$17)*('WACC Build'!$C$24) + ('WACC Build'!$B$13)*('WACC Build'!$C$25)))^1.5 + $D$76/(1+((D$121+$A126*$B$17)*('WACC Build'!$C$24) + ('WACC Build'!$B$13)*('WACC Build'!$C$25)))^2.5 + $E$76/(1+((D$121+$A126*$B$17)*('WACC Build'!$C$24) + ('WACC Build'!$B$13)*('WACC Build'!$C$25)))^3.5 + $F$76/(1+((D$121+$A126*$B$17)*('WACC Build'!$C$24) + ('WACC Build'!$B$13)*('WACC Build'!$C$25)))^4.5) + (($F$76*(1+$H$44)/(((D$121+$A126*$B$17)*('WACC Build'!$C$24) + ('WACC Build'!$B$13)*('WACC Build'!$C$25))-$H$44))/(1+((D$121+$A126*$B$17)*('WACC Build'!$C$24) + ('WACC Build'!$B$13)*('WACC Build'!$C$25)))^4.5) + $B$89)/$B$91)</f>
        <v/>
      </c>
      <c r="E126" s="40">
        <f>((($B$76/(1+((E$121+$A126*$B$17)*('WACC Build'!$C$24) + ('WACC Build'!$B$13)*('WACC Build'!$C$25)))^0.5 + $C$76/(1+((E$121+$A126*$B$17)*('WACC Build'!$C$24) + ('WACC Build'!$B$13)*('WACC Build'!$C$25)))^1.5 + $D$76/(1+((E$121+$A126*$B$17)*('WACC Build'!$C$24) + ('WACC Build'!$B$13)*('WACC Build'!$C$25)))^2.5 + $E$76/(1+((E$121+$A126*$B$17)*('WACC Build'!$C$24) + ('WACC Build'!$B$13)*('WACC Build'!$C$25)))^3.5 + $F$76/(1+((E$121+$A126*$B$17)*('WACC Build'!$C$24) + ('WACC Build'!$B$13)*('WACC Build'!$C$25)))^4.5) + (($F$76*(1+$H$44)/(((E$121+$A126*$B$17)*('WACC Build'!$C$24) + ('WACC Build'!$B$13)*('WACC Build'!$C$25))-$H$44))/(1+((E$121+$A126*$B$17)*('WACC Build'!$C$24) + ('WACC Build'!$B$13)*('WACC Build'!$C$25)))^4.5) + $B$89)/$B$91)</f>
        <v/>
      </c>
      <c r="F126" s="40">
        <f>((($B$76/(1+((F$121+$A126*$B$17)*('WACC Build'!$C$24) + ('WACC Build'!$B$13)*('WACC Build'!$C$25)))^0.5 + $C$76/(1+((F$121+$A126*$B$17)*('WACC Build'!$C$24) + ('WACC Build'!$B$13)*('WACC Build'!$C$25)))^1.5 + $D$76/(1+((F$121+$A126*$B$17)*('WACC Build'!$C$24) + ('WACC Build'!$B$13)*('WACC Build'!$C$25)))^2.5 + $E$76/(1+((F$121+$A126*$B$17)*('WACC Build'!$C$24) + ('WACC Build'!$B$13)*('WACC Build'!$C$25)))^3.5 + $F$76/(1+((F$121+$A126*$B$17)*('WACC Build'!$C$24) + ('WACC Build'!$B$13)*('WACC Build'!$C$25)))^4.5) + (($F$76*(1+$H$44)/(((F$121+$A126*$B$17)*('WACC Build'!$C$24) + ('WACC Build'!$B$13)*('WACC Build'!$C$25))-$H$44))/(1+((F$121+$A126*$B$17)*('WACC Build'!$C$24) + ('WACC Build'!$B$13)*('WACC Build'!$C$25)))^4.5) + $B$89)/$B$91)</f>
        <v/>
      </c>
    </row>
  </sheetData>
  <mergeCells count="14">
    <mergeCell ref="A6:K6"/>
    <mergeCell ref="A74:K74"/>
    <mergeCell ref="A29:H29"/>
    <mergeCell ref="A20:K20"/>
    <mergeCell ref="A43:H43"/>
    <mergeCell ref="A65:K65"/>
    <mergeCell ref="A100:F100"/>
    <mergeCell ref="A110:F110"/>
    <mergeCell ref="A120:F120"/>
    <mergeCell ref="A51:K51"/>
    <mergeCell ref="A98:H98"/>
    <mergeCell ref="A36:H36"/>
    <mergeCell ref="A83:C83"/>
    <mergeCell ref="A22:H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8" customWidth="1" min="3" max="3"/>
    <col width="18" customWidth="1" min="4" max="4"/>
    <col width="24" customWidth="1" min="5" max="5"/>
  </cols>
  <sheetData>
    <row r="1">
      <c r="A1" s="1" t="inlineStr">
        <is>
          <t>Microsoft Corporation (NASDAQ: MSFT)</t>
        </is>
      </c>
    </row>
    <row r="2">
      <c r="A2" s="2" t="inlineStr">
        <is>
          <t>Weighted Average Cost of Capital (WACC) Schedule | CAPM Methodology &amp; Capital Structure</t>
        </is>
      </c>
    </row>
    <row r="4">
      <c r="A4" s="6" t="inlineStr">
        <is>
          <t>I. COST OF EQUITY (CAPM METHODOLOGY)</t>
        </is>
      </c>
      <c r="B4" s="7" t="n"/>
      <c r="C4" s="7" t="n"/>
      <c r="D4" s="7" t="n"/>
      <c r="E4" s="7" t="n"/>
    </row>
    <row r="5">
      <c r="A5" s="8" t="inlineStr">
        <is>
          <t>Risk-Free Rate (10-Yr US Treasury Yield)</t>
        </is>
      </c>
      <c r="B5" s="58" t="n">
        <v>0.0475</v>
      </c>
    </row>
    <row r="6">
      <c r="A6" s="8" t="inlineStr">
        <is>
          <t>Equity Beta (5-Year Monthly vs S&amp;P 500)</t>
        </is>
      </c>
      <c r="B6" s="59" t="n">
        <v>1.1</v>
      </c>
    </row>
    <row r="7">
      <c r="A7" s="8" t="inlineStr">
        <is>
          <t>Market Equity Risk Premium (ERP)</t>
        </is>
      </c>
      <c r="B7" s="58" t="n">
        <v>0.055</v>
      </c>
    </row>
    <row r="8">
      <c r="A8" s="11" t="inlineStr">
        <is>
          <t>Cost of Equity (Ke = Rf + Beta * ERP)</t>
        </is>
      </c>
      <c r="B8" s="60">
        <f>B5+B6*B7</f>
        <v/>
      </c>
    </row>
    <row r="10">
      <c r="A10" s="6" t="inlineStr">
        <is>
          <t>II. COST OF DEBT &amp; CAPITAL STRUCTURE WEIGHTS</t>
        </is>
      </c>
      <c r="B10" s="7" t="n"/>
      <c r="C10" s="7" t="n"/>
      <c r="D10" s="7" t="n"/>
      <c r="E10" s="7" t="n"/>
    </row>
    <row r="11">
      <c r="A11" s="8" t="inlineStr">
        <is>
          <t>Pre-Tax Cost of Debt (Kd)</t>
        </is>
      </c>
      <c r="B11" s="58" t="n">
        <v>0.0495</v>
      </c>
    </row>
    <row r="12">
      <c r="A12" s="8" t="inlineStr">
        <is>
          <t>Effective Corporate Tax Rate (t)</t>
        </is>
      </c>
      <c r="B12" s="13" t="n">
        <v>0.2</v>
      </c>
    </row>
    <row r="13">
      <c r="A13" s="11" t="inlineStr">
        <is>
          <t>After-Tax Cost of Debt (Kd * (1 - t))</t>
        </is>
      </c>
      <c r="B13" s="60">
        <f>B11*(1-B12)</f>
        <v/>
      </c>
    </row>
    <row r="14">
      <c r="A14" s="11" t="inlineStr">
        <is>
          <t>Current Share Price ($)</t>
        </is>
      </c>
      <c r="B14" s="61">
        <f>'DCF Valuation'!B7</f>
        <v/>
      </c>
    </row>
    <row r="15">
      <c r="A15" s="11" t="inlineStr">
        <is>
          <t>Diluted Shares Outstanding (M)</t>
        </is>
      </c>
      <c r="B15" s="62">
        <f>'DCF Valuation'!B8</f>
        <v/>
      </c>
    </row>
    <row r="16">
      <c r="A16" s="11" t="inlineStr">
        <is>
          <t>Market Capitalization ($M)</t>
        </is>
      </c>
      <c r="B16" s="12">
        <f>B14*B15</f>
        <v/>
      </c>
    </row>
    <row r="17">
      <c r="A17" s="8" t="inlineStr">
        <is>
          <t>Total Debt ($M)</t>
        </is>
      </c>
      <c r="B17" s="9" t="n">
        <v>47600</v>
      </c>
    </row>
    <row r="18">
      <c r="A18" s="8" t="inlineStr">
        <is>
          <t>Cash and Short-Term Investments ($M)</t>
        </is>
      </c>
      <c r="B18" s="9" t="n">
        <v>76843</v>
      </c>
    </row>
    <row r="19">
      <c r="A19" s="11" t="inlineStr">
        <is>
          <t>Net Debt ($M) [Net Cash if negative]</t>
        </is>
      </c>
      <c r="B19" s="12">
        <f>B17-B18</f>
        <v/>
      </c>
    </row>
    <row r="20">
      <c r="A20" s="11" t="inlineStr">
        <is>
          <t>Total Capitalization ($M)</t>
        </is>
      </c>
      <c r="B20" s="12">
        <f>B16+B17</f>
        <v/>
      </c>
    </row>
    <row r="22">
      <c r="A22" s="6" t="inlineStr">
        <is>
          <t>III. WACC CALCULATION SUMMARY</t>
        </is>
      </c>
      <c r="B22" s="7" t="n"/>
      <c r="C22" s="7" t="n"/>
      <c r="D22" s="7" t="n"/>
      <c r="E22" s="7" t="n"/>
    </row>
    <row r="23">
      <c r="A23" s="16" t="inlineStr">
        <is>
          <t>Component</t>
        </is>
      </c>
      <c r="B23" s="63" t="inlineStr">
        <is>
          <t>Market Value ($M)</t>
        </is>
      </c>
      <c r="C23" s="63" t="inlineStr">
        <is>
          <t>Capital Weight (%)</t>
        </is>
      </c>
      <c r="D23" s="63" t="inlineStr">
        <is>
          <t>Cost of Capital (%)</t>
        </is>
      </c>
      <c r="E23" s="63" t="inlineStr">
        <is>
          <t>Weighted Contribution (%)</t>
        </is>
      </c>
    </row>
    <row r="24">
      <c r="A24" s="8" t="inlineStr">
        <is>
          <t>Common Equity (Market Cap)</t>
        </is>
      </c>
      <c r="B24" s="40">
        <f>B16</f>
        <v/>
      </c>
      <c r="C24" s="30">
        <f>B24/$B$20</f>
        <v/>
      </c>
      <c r="D24" s="64">
        <f>B8</f>
        <v/>
      </c>
      <c r="E24" s="64">
        <f>C24*D24</f>
        <v/>
      </c>
    </row>
    <row r="25">
      <c r="A25" s="8" t="inlineStr">
        <is>
          <t>Total Debt</t>
        </is>
      </c>
      <c r="B25" s="40">
        <f>B17</f>
        <v/>
      </c>
      <c r="C25" s="30">
        <f>B25/$B$20</f>
        <v/>
      </c>
      <c r="D25" s="64">
        <f>B13</f>
        <v/>
      </c>
      <c r="E25" s="64">
        <f>C25*D25</f>
        <v/>
      </c>
    </row>
    <row r="26">
      <c r="A26" s="26" t="inlineStr">
        <is>
          <t>Total Capitalization / Base WACC</t>
        </is>
      </c>
      <c r="B26" s="65">
        <f>B20</f>
        <v/>
      </c>
      <c r="C26" s="66">
        <f>SUM(C24:C25)</f>
        <v/>
      </c>
      <c r="D26" s="67" t="inlineStr">
        <is>
          <t>-</t>
        </is>
      </c>
      <c r="E26" s="68">
        <f>SUM(E24:E25)</f>
        <v/>
      </c>
    </row>
  </sheetData>
  <mergeCells count="3">
    <mergeCell ref="A22:E22"/>
    <mergeCell ref="A10:E10"/>
    <mergeCell ref="A4:E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2026-08-19T06:45:14Z</dcterms:created>
  <dcterms:modified xmlns:dcterms="http://purl.org/dc/terms/" xmlns:xsi="http://www.w3.org/2001/XMLSchema-instance" xsi:type="dcterms:W3CDTF">2026-08-19T06:45:14Z</dcterms:modified>
</cp:coreProperties>
</file>