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0.0"/>
    <numFmt numFmtId="167" formatCode="0.0000"/>
    <numFmt numFmtId="168" formatCode="+0.0%;-0.0%;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0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0" pivotButton="0" quotePrefix="0" xfId="0"/>
    <xf numFmtId="164" fontId="5" fillId="5" borderId="0" applyAlignment="1" pivotButton="0" quotePrefix="0" xfId="0">
      <alignment horizontal="right" vertical="center"/>
    </xf>
    <xf numFmtId="4" fontId="5" fillId="5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4" fillId="5" borderId="0" pivotButton="0" quotePrefix="0" xfId="0"/>
    <xf numFmtId="165" fontId="0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7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6" fillId="4" borderId="0" pivotButton="0" quotePrefix="0" xfId="0"/>
    <xf numFmtId="165" fontId="4" fillId="4" borderId="0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8" fontId="4" fillId="4" borderId="0" applyAlignment="1" pivotButton="0" quotePrefix="0" xfId="0">
      <alignment horizontal="center" vertical="center"/>
    </xf>
    <xf numFmtId="10" fontId="4" fillId="4" borderId="0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right" vertical="center"/>
    </xf>
    <xf numFmtId="0" fontId="7" fillId="0" borderId="0" pivotButton="0" quotePrefix="0" xfId="0"/>
    <xf numFmtId="2" fontId="5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Equity Research</author>
  </authors>
  <commentList>
    <comment ref="B5" authorId="0" shapeId="0">
      <text>
        <t>Change this value (1, 2, or 3) to switch active DCF scenario across all schedules.</t>
      </text>
    </comment>
    <comment ref="B9" authorId="0" shapeId="0">
      <text>
        <t>Source: Market Data / NASDAQ Close, August 2026</t>
      </text>
    </comment>
    <comment ref="B10" authorId="0" shapeId="0">
      <text>
        <t>Source: SEC Form 10-K / Latest Quarterly Filings</t>
      </text>
    </comment>
    <comment ref="B12" authorId="0" shapeId="0">
      <text>
        <t>Source: SEC Form 10-K FY2025 Balance Sheet</t>
      </text>
    </comment>
    <comment ref="B13" authorId="0" shapeId="0">
      <text>
        <t>Source: SEC Form 10-K FY2025 Balance Sheet (Notes on Debt)</t>
      </text>
    </comment>
    <comment ref="B15" authorId="0" shapeId="0">
      <text>
        <t>Source: US Federal Statutory Corporate Tax Rate (21.0%)</t>
      </text>
    </comment>
    <comment ref="E20" authorId="0" shapeId="0">
      <text>
        <t>Source: Conservative estimate reflecting macro retail softness</t>
      </text>
    </comment>
    <comment ref="F20" authorId="0" shapeId="0">
      <text>
        <t>Source: Conservative estimate reflecting macro retail softness</t>
      </text>
    </comment>
    <comment ref="G20" authorId="0" shapeId="0">
      <text>
        <t>Source: Conservative estimate reflecting macro retail softness</t>
      </text>
    </comment>
    <comment ref="H20" authorId="0" shapeId="0">
      <text>
        <t>Source: Conservative estimate reflecting macro retail softness</t>
      </text>
    </comment>
    <comment ref="I20" authorId="0" shapeId="0">
      <text>
        <t>Source: Conservative estimate reflecting macro retail softness</t>
      </text>
    </comment>
    <comment ref="J20" authorId="0" shapeId="0">
      <text>
        <t>Source: Conservative estimate reflecting macro retail softness</t>
      </text>
    </comment>
    <comment ref="E21" authorId="0" shapeId="0">
      <text>
        <t>Source: Conservative margin recovery assumption</t>
      </text>
    </comment>
    <comment ref="F21" authorId="0" shapeId="0">
      <text>
        <t>Source: Conservative margin recovery assumption</t>
      </text>
    </comment>
    <comment ref="G21" authorId="0" shapeId="0">
      <text>
        <t>Source: Conservative margin recovery assumption</t>
      </text>
    </comment>
    <comment ref="H21" authorId="0" shapeId="0">
      <text>
        <t>Source: Conservative margin recovery assumption</t>
      </text>
    </comment>
    <comment ref="I21" authorId="0" shapeId="0">
      <text>
        <t>Source: Conservative margin recovery assumption</t>
      </text>
    </comment>
    <comment ref="E22" authorId="0" shapeId="0">
      <text>
        <t>Source: Elevated WACC reflecting distress risk premium</t>
      </text>
    </comment>
    <comment ref="E23" authorId="0" shapeId="0">
      <text>
        <t>Source: Conservative long-term inflation/GDP growth rate</t>
      </text>
    </comment>
    <comment ref="E25" authorId="0" shapeId="0">
      <text>
        <t>Source: Consensus / normalization after Lee Lee integration</t>
      </text>
    </comment>
    <comment ref="F25" authorId="0" shapeId="0">
      <text>
        <t>Source: Consensus / normalization after Lee Lee integration</t>
      </text>
    </comment>
    <comment ref="G25" authorId="0" shapeId="0">
      <text>
        <t>Source: Consensus / normalization after Lee Lee integration</t>
      </text>
    </comment>
    <comment ref="H25" authorId="0" shapeId="0">
      <text>
        <t>Source: Consensus / normalization after Lee Lee integration</t>
      </text>
    </comment>
    <comment ref="I25" authorId="0" shapeId="0">
      <text>
        <t>Source: Consensus / normalization after Lee Lee integration</t>
      </text>
    </comment>
    <comment ref="J25" authorId="0" shapeId="0">
      <text>
        <t>Source: Consensus / normalization after Lee Lee integration</t>
      </text>
    </comment>
    <comment ref="E26" authorId="0" shapeId="0">
      <text>
        <t>Source: Steady margin expansion toward specialty grocery peer average</t>
      </text>
    </comment>
    <comment ref="F26" authorId="0" shapeId="0">
      <text>
        <t>Source: Steady margin expansion toward specialty grocery peer average</t>
      </text>
    </comment>
    <comment ref="G26" authorId="0" shapeId="0">
      <text>
        <t>Source: Steady margin expansion toward specialty grocery peer average</t>
      </text>
    </comment>
    <comment ref="H26" authorId="0" shapeId="0">
      <text>
        <t>Source: Steady margin expansion toward specialty grocery peer average</t>
      </text>
    </comment>
    <comment ref="I26" authorId="0" shapeId="0">
      <text>
        <t>Source: Steady margin expansion toward specialty grocery peer average</t>
      </text>
    </comment>
    <comment ref="E27" authorId="0" shapeId="0">
      <text>
        <t>Source: CAPM &amp; Target capital structure WACC calculation</t>
      </text>
    </comment>
    <comment ref="E28" authorId="0" shapeId="0">
      <text>
        <t>Source: Sustainable long-term US GDP growth rate</t>
      </text>
    </comment>
    <comment ref="E30" authorId="0" shapeId="0">
      <text>
        <t>Source: Accelerated store rollout and omni-channel grocery expansion</t>
      </text>
    </comment>
    <comment ref="F30" authorId="0" shapeId="0">
      <text>
        <t>Source: Accelerated store rollout and omni-channel grocery expansion</t>
      </text>
    </comment>
    <comment ref="G30" authorId="0" shapeId="0">
      <text>
        <t>Source: Accelerated store rollout and omni-channel grocery expansion</t>
      </text>
    </comment>
    <comment ref="H30" authorId="0" shapeId="0">
      <text>
        <t>Source: Accelerated store rollout and omni-channel grocery expansion</t>
      </text>
    </comment>
    <comment ref="I30" authorId="0" shapeId="0">
      <text>
        <t>Source: Accelerated store rollout and omni-channel grocery expansion</t>
      </text>
    </comment>
    <comment ref="J30" authorId="0" shapeId="0">
      <text>
        <t>Source: Accelerated store rollout and omni-channel grocery expansion</t>
      </text>
    </comment>
    <comment ref="E31" authorId="0" shapeId="0">
      <text>
        <t>Source: High operating leverage and scale economies</t>
      </text>
    </comment>
    <comment ref="F31" authorId="0" shapeId="0">
      <text>
        <t>Source: High operating leverage and scale economies</t>
      </text>
    </comment>
    <comment ref="G31" authorId="0" shapeId="0">
      <text>
        <t>Source: High operating leverage and scale economies</t>
      </text>
    </comment>
    <comment ref="H31" authorId="0" shapeId="0">
      <text>
        <t>Source: High operating leverage and scale economies</t>
      </text>
    </comment>
    <comment ref="I31" authorId="0" shapeId="0">
      <text>
        <t>Source: High operating leverage and scale economies</t>
      </text>
    </comment>
    <comment ref="E32" authorId="0" shapeId="0">
      <text>
        <t>Source: Deleveraged balance sheet and lower cost of capital</t>
      </text>
    </comment>
    <comment ref="E33" authorId="0" shapeId="0">
      <text>
        <t>Source: Optimistic terminal growth rate for ethnic food market leader</t>
      </text>
    </comment>
    <comment ref="E41" authorId="0" shapeId="0">
      <text>
        <t>Source: Historical D&amp;A ~0.8%-1.0% of revenue</t>
      </text>
    </comment>
    <comment ref="F41" authorId="0" shapeId="0">
      <text>
        <t>Source: Historical D&amp;A ~0.8%-1.0% of revenue</t>
      </text>
    </comment>
    <comment ref="G41" authorId="0" shapeId="0">
      <text>
        <t>Source: Historical D&amp;A ~0.8%-1.0% of revenue</t>
      </text>
    </comment>
    <comment ref="H41" authorId="0" shapeId="0">
      <text>
        <t>Source: Historical D&amp;A ~0.8%-1.0% of revenue</t>
      </text>
    </comment>
    <comment ref="I41" authorId="0" shapeId="0">
      <text>
        <t>Source: Historical D&amp;A ~0.8%-1.0% of revenue</t>
      </text>
    </comment>
    <comment ref="E42" authorId="0" shapeId="0">
      <text>
        <t>Source: Store maintenance and IT capital expenditure</t>
      </text>
    </comment>
    <comment ref="F42" authorId="0" shapeId="0">
      <text>
        <t>Source: Store maintenance and IT capital expenditure</t>
      </text>
    </comment>
    <comment ref="G42" authorId="0" shapeId="0">
      <text>
        <t>Source: Store maintenance and IT capital expenditure</t>
      </text>
    </comment>
    <comment ref="H42" authorId="0" shapeId="0">
      <text>
        <t>Source: Store maintenance and IT capital expenditure</t>
      </text>
    </comment>
    <comment ref="I42" authorId="0" shapeId="0">
      <text>
        <t>Source: Store maintenance and IT capital expenditure</t>
      </text>
    </comment>
    <comment ref="E43" authorId="0" shapeId="0">
      <text>
        <t>Source: Working capital requirement per dollar of revenue growth</t>
      </text>
    </comment>
    <comment ref="F43" authorId="0" shapeId="0">
      <text>
        <t>Source: Working capital requirement per dollar of revenue growth</t>
      </text>
    </comment>
    <comment ref="G43" authorId="0" shapeId="0">
      <text>
        <t>Source: Working capital requirement per dollar of revenue growth</t>
      </text>
    </comment>
    <comment ref="H43" authorId="0" shapeId="0">
      <text>
        <t>Source: Working capital requirement per dollar of revenue growth</t>
      </text>
    </comment>
    <comment ref="I43" authorId="0" shapeId="0">
      <text>
        <t>Source: Working capital requirement per dollar of revenue growth</t>
      </text>
    </comment>
    <comment ref="C47" authorId="0" shapeId="0">
      <text>
        <t>Source: SEC Form 10-K FY2024</t>
      </text>
    </comment>
    <comment ref="D47" authorId="0" shapeId="0">
      <text>
        <t>Source: SEC Form 10-K FY2025</t>
      </text>
    </comment>
    <comment ref="C49" authorId="0" shapeId="0">
      <text>
        <t>Source: SEC Form 10-K FY2024</t>
      </text>
    </comment>
    <comment ref="D49" authorId="0" shapeId="0">
      <text>
        <t>Source: SEC Form 10-K FY2025</t>
      </text>
    </comment>
    <comment ref="C51" authorId="0" shapeId="0">
      <text>
        <t>Source: SEC Form 10-K FY2024</t>
      </text>
    </comment>
    <comment ref="D51" authorId="0" shapeId="0">
      <text>
        <t>Source: SEC Form 10-K FY2025</t>
      </text>
    </comment>
    <comment ref="C55" authorId="0" shapeId="0">
      <text>
        <t>Source: SEC Form 10-K FY2024 Cash Flow Statement</t>
      </text>
    </comment>
    <comment ref="D55" authorId="0" shapeId="0">
      <text>
        <t>Source: SEC Form 10-K FY2025 Cash Flow Statement</t>
      </text>
    </comment>
    <comment ref="E85" authorId="0" shapeId="0">
      <text>
        <t>Base Case Implied Price anchor (WACC 10.0%, Terminal g 2.5%)</t>
      </text>
    </comment>
    <comment ref="E94" authorId="0" shapeId="0">
      <text>
        <t>Base Case Implied Price anchor (Base Margin 2.8%, Growth Adj 0.0%)</t>
      </text>
    </comment>
    <comment ref="E103" authorId="0" shapeId="0">
      <text>
        <t>Base Case Implied Price anchor (Beta 1.20, Rf 4.70%)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Maison Solutions Inc. (NASDAQ: MSS) - Institutional DCF Valuation Model</t>
        </is>
      </c>
    </row>
    <row r="2">
      <c r="A2" s="2" t="inlineStr">
        <is>
          <t>Valuation Date: August 2026 | Currency: USD in Millions (except per-share data) | Fiscal Year Ends April 30</t>
        </is>
      </c>
    </row>
    <row r="3"/>
    <row r="4">
      <c r="A4" s="3" t="inlineStr">
        <is>
          <t>1. MODEL CONTROL &amp; SCENARIO SELECTOR</t>
        </is>
      </c>
    </row>
    <row r="5">
      <c r="A5" s="4" t="inlineStr">
        <is>
          <t>Scenario Selector (1 = Bear, 2 = Base, 3 = Bull):</t>
        </is>
      </c>
      <c r="B5" s="5" t="n">
        <v>2</v>
      </c>
    </row>
    <row r="6">
      <c r="A6" s="4" t="inlineStr">
        <is>
          <t>Active Scenario Name:</t>
        </is>
      </c>
      <c r="B6" s="6">
        <f>IF(B5=1,"Bear Case (Conservative)",IF(B5=2,"Base Case (Consensus / Target)","Bull Case (Optimistic)"))</f>
        <v/>
      </c>
    </row>
    <row r="7"/>
    <row r="8">
      <c r="A8" s="3" t="inlineStr">
        <is>
          <t>2. MARKET DATA &amp; CAPITAL STRUCTURE INPUTS</t>
        </is>
      </c>
    </row>
    <row r="9">
      <c r="A9" s="7" t="inlineStr">
        <is>
          <t>Current Share Price ($)</t>
        </is>
      </c>
      <c r="B9" s="8" t="n">
        <v>1.46</v>
      </c>
    </row>
    <row r="10">
      <c r="A10" s="7" t="inlineStr">
        <is>
          <t>Diluted Shares Outstanding (M)</t>
        </is>
      </c>
      <c r="B10" s="9" t="n">
        <v>2.53</v>
      </c>
    </row>
    <row r="11">
      <c r="A11" s="7" t="inlineStr">
        <is>
          <t>Current Market Capitalization ($M)</t>
        </is>
      </c>
      <c r="B11" s="10">
        <f>B9*B10</f>
        <v/>
      </c>
    </row>
    <row r="12">
      <c r="A12" s="7" t="inlineStr">
        <is>
          <t>Cash &amp; Cash Equivalents ($M)</t>
        </is>
      </c>
      <c r="B12" s="8" t="n">
        <v>1.52</v>
      </c>
    </row>
    <row r="13">
      <c r="A13" s="7" t="inlineStr">
        <is>
          <t>Total Debt ($M)</t>
        </is>
      </c>
      <c r="B13" s="8" t="n">
        <v>47.6</v>
      </c>
    </row>
    <row r="14">
      <c r="A14" s="7" t="inlineStr">
        <is>
          <t>Net Debt ($M)</t>
        </is>
      </c>
      <c r="B14" s="10">
        <f>B13-B12</f>
        <v/>
      </c>
    </row>
    <row r="15">
      <c r="A15" s="7" t="inlineStr">
        <is>
          <t>Effective Corporate Tax Rate (%)</t>
        </is>
      </c>
      <c r="B15" s="11" t="n">
        <v>0.21</v>
      </c>
    </row>
    <row r="16"/>
    <row r="17">
      <c r="A17" s="3" t="inlineStr">
        <is>
          <t>3. SCENARIO ASSUMPTIONS SCHEDULE</t>
        </is>
      </c>
    </row>
    <row r="18">
      <c r="A18" s="12" t="inlineStr">
        <is>
          <t>Assumption / Parameter</t>
        </is>
      </c>
      <c r="B18" s="12" t="inlineStr"/>
      <c r="C18" s="13" t="inlineStr">
        <is>
          <t>FY2024A</t>
        </is>
      </c>
      <c r="D18" s="13" t="inlineStr">
        <is>
          <t>FY2025A</t>
        </is>
      </c>
      <c r="E18" s="13" t="inlineStr">
        <is>
          <t>FY2026E</t>
        </is>
      </c>
      <c r="F18" s="13" t="inlineStr">
        <is>
          <t>FY2027E</t>
        </is>
      </c>
      <c r="G18" s="13" t="inlineStr">
        <is>
          <t>FY2028E</t>
        </is>
      </c>
      <c r="H18" s="13" t="inlineStr">
        <is>
          <t>FY2029E</t>
        </is>
      </c>
      <c r="I18" s="13" t="inlineStr">
        <is>
          <t>FY2030E</t>
        </is>
      </c>
      <c r="J18" s="13" t="inlineStr">
        <is>
          <t>Terminal</t>
        </is>
      </c>
    </row>
    <row r="19">
      <c r="A19" s="14" t="inlineStr">
        <is>
          <t>BEAR CASE ASSUMPTIONS (1)</t>
        </is>
      </c>
    </row>
    <row r="20">
      <c r="A20" t="inlineStr">
        <is>
          <t xml:space="preserve">  Revenue Growth YoY (%)</t>
        </is>
      </c>
      <c r="E20" s="15" t="n">
        <v>0.04</v>
      </c>
      <c r="F20" s="15" t="n">
        <v>0.035</v>
      </c>
      <c r="G20" s="15" t="n">
        <v>0.03</v>
      </c>
      <c r="H20" s="15" t="n">
        <v>0.025</v>
      </c>
      <c r="I20" s="15" t="n">
        <v>0.025</v>
      </c>
      <c r="J20" s="15" t="n">
        <v>0.02</v>
      </c>
    </row>
    <row r="21">
      <c r="A21" t="inlineStr">
        <is>
          <t xml:space="preserve">  EBIT Margin (%)</t>
        </is>
      </c>
      <c r="E21" s="15" t="n">
        <v>0</v>
      </c>
      <c r="F21" s="15" t="n">
        <v>0.005</v>
      </c>
      <c r="G21" s="15" t="n">
        <v>0.008</v>
      </c>
      <c r="H21" s="15" t="n">
        <v>0.01</v>
      </c>
      <c r="I21" s="15" t="n">
        <v>0.01</v>
      </c>
    </row>
    <row r="22">
      <c r="A22" t="inlineStr">
        <is>
          <t xml:space="preserve">  Discount Rate / WACC (%)</t>
        </is>
      </c>
      <c r="E22" s="15" t="n">
        <v>0.11</v>
      </c>
    </row>
    <row r="23">
      <c r="A23" t="inlineStr">
        <is>
          <t xml:space="preserve">  Terminal Growth Rate (%)</t>
        </is>
      </c>
      <c r="E23" s="15" t="n">
        <v>0.02</v>
      </c>
    </row>
    <row r="24">
      <c r="A24" s="14" t="inlineStr">
        <is>
          <t>BASE CASE ASSUMPTIONS (2)</t>
        </is>
      </c>
    </row>
    <row r="25">
      <c r="A25" t="inlineStr">
        <is>
          <t xml:space="preserve">  Revenue Growth YoY (%)</t>
        </is>
      </c>
      <c r="E25" s="15" t="n">
        <v>0.08</v>
      </c>
      <c r="F25" s="15" t="n">
        <v>0.07000000000000001</v>
      </c>
      <c r="G25" s="15" t="n">
        <v>0.06</v>
      </c>
      <c r="H25" s="15" t="n">
        <v>0.05</v>
      </c>
      <c r="I25" s="15" t="n">
        <v>0.04</v>
      </c>
      <c r="J25" s="15" t="n">
        <v>0.025</v>
      </c>
    </row>
    <row r="26">
      <c r="A26" t="inlineStr">
        <is>
          <t xml:space="preserve">  EBIT Margin (%)</t>
        </is>
      </c>
      <c r="E26" s="15" t="n">
        <v>0.008</v>
      </c>
      <c r="F26" s="15" t="n">
        <v>0.015</v>
      </c>
      <c r="G26" s="15" t="n">
        <v>0.02</v>
      </c>
      <c r="H26" s="15" t="n">
        <v>0.025</v>
      </c>
      <c r="I26" s="15" t="n">
        <v>0.028</v>
      </c>
    </row>
    <row r="27">
      <c r="A27" t="inlineStr">
        <is>
          <t xml:space="preserve">  Discount Rate / WACC (%)</t>
        </is>
      </c>
      <c r="E27" s="15" t="n">
        <v>0.1</v>
      </c>
    </row>
    <row r="28">
      <c r="A28" t="inlineStr">
        <is>
          <t xml:space="preserve">  Terminal Growth Rate (%)</t>
        </is>
      </c>
      <c r="E28" s="15" t="n">
        <v>0.025</v>
      </c>
    </row>
    <row r="29">
      <c r="A29" s="14" t="inlineStr">
        <is>
          <t>BULL CASE ASSUMPTIONS (3)</t>
        </is>
      </c>
    </row>
    <row r="30">
      <c r="A30" t="inlineStr">
        <is>
          <t xml:space="preserve">  Revenue Growth YoY (%)</t>
        </is>
      </c>
      <c r="E30" s="15" t="n">
        <v>0.14</v>
      </c>
      <c r="F30" s="15" t="n">
        <v>0.12</v>
      </c>
      <c r="G30" s="15" t="n">
        <v>0.1</v>
      </c>
      <c r="H30" s="15" t="n">
        <v>0.08</v>
      </c>
      <c r="I30" s="15" t="n">
        <v>0.06</v>
      </c>
      <c r="J30" s="15" t="n">
        <v>0.03</v>
      </c>
    </row>
    <row r="31">
      <c r="A31" t="inlineStr">
        <is>
          <t xml:space="preserve">  EBIT Margin (%)</t>
        </is>
      </c>
      <c r="E31" s="15" t="n">
        <v>0.015</v>
      </c>
      <c r="F31" s="15" t="n">
        <v>0.025</v>
      </c>
      <c r="G31" s="15" t="n">
        <v>0.032</v>
      </c>
      <c r="H31" s="15" t="n">
        <v>0.038</v>
      </c>
      <c r="I31" s="15" t="n">
        <v>0.042</v>
      </c>
    </row>
    <row r="32">
      <c r="A32" t="inlineStr">
        <is>
          <t xml:space="preserve">  Discount Rate / WACC (%)</t>
        </is>
      </c>
      <c r="E32" s="15" t="n">
        <v>0.09</v>
      </c>
    </row>
    <row r="33">
      <c r="A33" t="inlineStr">
        <is>
          <t xml:space="preserve">  Terminal Growth Rate (%)</t>
        </is>
      </c>
      <c r="E33" s="15" t="n">
        <v>0.03</v>
      </c>
    </row>
    <row r="34"/>
    <row r="35">
      <c r="A35" s="3" t="inlineStr">
        <is>
          <t>4. ACTIVE SCENARIO CONSOLIDATED DRIVERS</t>
        </is>
      </c>
    </row>
    <row r="36">
      <c r="A36" s="12" t="inlineStr">
        <is>
          <t>Consolidated Driver</t>
        </is>
      </c>
      <c r="B36" s="12" t="inlineStr"/>
      <c r="C36" s="13" t="inlineStr">
        <is>
          <t>FY2024A</t>
        </is>
      </c>
      <c r="D36" s="13" t="inlineStr">
        <is>
          <t>FY2025A</t>
        </is>
      </c>
      <c r="E36" s="13" t="inlineStr">
        <is>
          <t>FY2026E</t>
        </is>
      </c>
      <c r="F36" s="13" t="inlineStr">
        <is>
          <t>FY2027E</t>
        </is>
      </c>
      <c r="G36" s="13" t="inlineStr">
        <is>
          <t>FY2028E</t>
        </is>
      </c>
      <c r="H36" s="13" t="inlineStr">
        <is>
          <t>FY2029E</t>
        </is>
      </c>
      <c r="I36" s="13" t="inlineStr">
        <is>
          <t>FY2030E</t>
        </is>
      </c>
      <c r="J36" s="13" t="inlineStr">
        <is>
          <t>Terminal</t>
        </is>
      </c>
    </row>
    <row r="37">
      <c r="A37" t="inlineStr">
        <is>
          <t>Selected Revenue Growth (%)</t>
        </is>
      </c>
      <c r="E37" s="16">
        <f>CHOOSE($B$5,E20,E25,E30)</f>
        <v/>
      </c>
      <c r="F37" s="16">
        <f>CHOOSE($B$5,F20,F25,F30)</f>
        <v/>
      </c>
      <c r="G37" s="16">
        <f>CHOOSE($B$5,G20,G25,G30)</f>
        <v/>
      </c>
      <c r="H37" s="16">
        <f>CHOOSE($B$5,H20,H25,H30)</f>
        <v/>
      </c>
      <c r="I37" s="16">
        <f>CHOOSE($B$5,I20,I25,I30)</f>
        <v/>
      </c>
      <c r="J37" s="16">
        <f>CHOOSE($B$5,J20,J25,J30)</f>
        <v/>
      </c>
    </row>
    <row r="38">
      <c r="A38" t="inlineStr">
        <is>
          <t>Selected EBIT Margin (%)</t>
        </is>
      </c>
      <c r="E38" s="16">
        <f>CHOOSE($B$5,E21,E26,E31)</f>
        <v/>
      </c>
      <c r="F38" s="16">
        <f>CHOOSE($B$5,F21,F26,F31)</f>
        <v/>
      </c>
      <c r="G38" s="16">
        <f>CHOOSE($B$5,G21,G26,G31)</f>
        <v/>
      </c>
      <c r="H38" s="16">
        <f>CHOOSE($B$5,H21,H26,H31)</f>
        <v/>
      </c>
      <c r="I38" s="16">
        <f>CHOOSE($B$5,I21,I26,I31)</f>
        <v/>
      </c>
    </row>
    <row r="39">
      <c r="A39" t="inlineStr">
        <is>
          <t>Selected Discount Rate / WACC (%)</t>
        </is>
      </c>
      <c r="E39" s="16">
        <f>CHOOSE($B$5,E22,E27,E32)</f>
        <v/>
      </c>
    </row>
    <row r="40">
      <c r="A40" t="inlineStr">
        <is>
          <t>Selected Terminal Growth Rate (%)</t>
        </is>
      </c>
      <c r="E40" s="16">
        <f>CHOOSE($B$5,E23,E28,E33)</f>
        <v/>
      </c>
    </row>
    <row r="41">
      <c r="A41" t="inlineStr">
        <is>
          <t>D&amp;A (% of Revenue)</t>
        </is>
      </c>
      <c r="E41" s="15" t="n">
        <v>0.008999999999999999</v>
      </c>
      <c r="F41" s="15" t="n">
        <v>0.008999999999999999</v>
      </c>
      <c r="G41" s="15" t="n">
        <v>0.008999999999999999</v>
      </c>
      <c r="H41" s="15" t="n">
        <v>0.008999999999999999</v>
      </c>
      <c r="I41" s="15" t="n">
        <v>0.008999999999999999</v>
      </c>
    </row>
    <row r="42">
      <c r="A42" t="inlineStr">
        <is>
          <t>CapEx (% of Revenue)</t>
        </is>
      </c>
      <c r="E42" s="15" t="n">
        <v>0.012</v>
      </c>
      <c r="F42" s="15" t="n">
        <v>0.012</v>
      </c>
      <c r="G42" s="15" t="n">
        <v>0.012</v>
      </c>
      <c r="H42" s="15" t="n">
        <v>0.012</v>
      </c>
      <c r="I42" s="15" t="n">
        <v>0.012</v>
      </c>
    </row>
    <row r="43">
      <c r="A43" t="inlineStr">
        <is>
          <t>ΔNWC (% of ΔRevenue)</t>
        </is>
      </c>
      <c r="E43" s="15" t="n">
        <v>0.01</v>
      </c>
      <c r="F43" s="15" t="n">
        <v>0.01</v>
      </c>
      <c r="G43" s="15" t="n">
        <v>0.01</v>
      </c>
      <c r="H43" s="15" t="n">
        <v>0.01</v>
      </c>
      <c r="I43" s="15" t="n">
        <v>0.01</v>
      </c>
    </row>
    <row r="44"/>
    <row r="45">
      <c r="A45" s="3" t="inlineStr">
        <is>
          <t>5. FINANCIAL STATEMENT &amp; FREE CASH FLOW PROJECTION SCHEDULE ($M)</t>
        </is>
      </c>
    </row>
    <row r="46">
      <c r="A46" s="12" t="inlineStr">
        <is>
          <t>Line Item ($M)</t>
        </is>
      </c>
      <c r="B46" s="12" t="inlineStr"/>
      <c r="C46" s="13" t="inlineStr">
        <is>
          <t>FY2024A</t>
        </is>
      </c>
      <c r="D46" s="13" t="inlineStr">
        <is>
          <t>FY2025A</t>
        </is>
      </c>
      <c r="E46" s="13" t="inlineStr">
        <is>
          <t>FY2026E</t>
        </is>
      </c>
      <c r="F46" s="13" t="inlineStr">
        <is>
          <t>FY2027E</t>
        </is>
      </c>
      <c r="G46" s="13" t="inlineStr">
        <is>
          <t>FY2028E</t>
        </is>
      </c>
      <c r="H46" s="13" t="inlineStr">
        <is>
          <t>FY2029E</t>
        </is>
      </c>
      <c r="I46" s="13" t="inlineStr">
        <is>
          <t>FY2030E</t>
        </is>
      </c>
      <c r="J46" s="13" t="inlineStr">
        <is>
          <t>Terminal</t>
        </is>
      </c>
    </row>
    <row r="47">
      <c r="A47" t="inlineStr">
        <is>
          <t>Revenue</t>
        </is>
      </c>
      <c r="C47" s="10" t="n">
        <v>58</v>
      </c>
      <c r="D47" s="10" t="n">
        <v>124.2</v>
      </c>
      <c r="E47" s="10">
        <f>D47*(1+E37)</f>
        <v/>
      </c>
      <c r="F47" s="10">
        <f>E47*(1+F37)</f>
        <v/>
      </c>
      <c r="G47" s="10">
        <f>F47*(1+G37)</f>
        <v/>
      </c>
      <c r="H47" s="10">
        <f>G47*(1+H37)</f>
        <v/>
      </c>
      <c r="I47" s="10">
        <f>H47*(1+I37)</f>
        <v/>
      </c>
      <c r="J47" s="10">
        <f>I47*(1+E40)</f>
        <v/>
      </c>
    </row>
    <row r="48">
      <c r="A48" t="inlineStr">
        <is>
          <t xml:space="preserve">  Revenue Growth YoY (%)</t>
        </is>
      </c>
      <c r="C48" t="inlineStr">
        <is>
          <t>-</t>
        </is>
      </c>
      <c r="D48" s="17">
        <f>(D47-C47)/C47</f>
        <v/>
      </c>
      <c r="E48" s="18">
        <f>(E47-D47)/D47</f>
        <v/>
      </c>
      <c r="F48" s="18">
        <f>(F47-E47)/E47</f>
        <v/>
      </c>
      <c r="G48" s="18">
        <f>(G47-F47)/F47</f>
        <v/>
      </c>
      <c r="H48" s="18">
        <f>(H47-G47)/G47</f>
        <v/>
      </c>
      <c r="I48" s="18">
        <f>(I47-H47)/H47</f>
        <v/>
      </c>
      <c r="J48" s="18">
        <f>E40</f>
        <v/>
      </c>
    </row>
    <row r="49">
      <c r="A49" t="inlineStr">
        <is>
          <t>Gross Profit</t>
        </is>
      </c>
      <c r="C49" s="19" t="n">
        <v>11.62</v>
      </c>
      <c r="D49" s="19" t="n">
        <v>26.34</v>
      </c>
      <c r="E49" s="19">
        <f>E47*0.215</f>
        <v/>
      </c>
      <c r="F49" s="19">
        <f>F47*0.218</f>
        <v/>
      </c>
      <c r="G49" s="19">
        <f>G47*0.220</f>
        <v/>
      </c>
      <c r="H49" s="19">
        <f>H47*0.222</f>
        <v/>
      </c>
      <c r="I49" s="19">
        <f>I47*0.225</f>
        <v/>
      </c>
      <c r="J49" s="19">
        <f>J47*0.225</f>
        <v/>
      </c>
    </row>
    <row r="50">
      <c r="A50" t="inlineStr">
        <is>
          <t xml:space="preserve">  Gross Margin (%)</t>
        </is>
      </c>
      <c r="C50" s="18">
        <f>C49/C47</f>
        <v/>
      </c>
      <c r="D50" s="18">
        <f>D49/D47</f>
        <v/>
      </c>
      <c r="E50" s="18">
        <f>E49/E47</f>
        <v/>
      </c>
      <c r="F50" s="18">
        <f>F49/F47</f>
        <v/>
      </c>
      <c r="G50" s="18">
        <f>G49/G47</f>
        <v/>
      </c>
      <c r="H50" s="18">
        <f>H49/H47</f>
        <v/>
      </c>
      <c r="I50" s="18">
        <f>I49/I47</f>
        <v/>
      </c>
      <c r="J50" s="18">
        <f>J49/J47</f>
        <v/>
      </c>
    </row>
    <row r="51">
      <c r="A51" t="inlineStr">
        <is>
          <t>Operating Income / EBIT</t>
        </is>
      </c>
      <c r="C51" s="10" t="n">
        <v>-2.7</v>
      </c>
      <c r="D51" s="10" t="n">
        <v>-1.27</v>
      </c>
      <c r="E51" s="10">
        <f>E47*E38</f>
        <v/>
      </c>
      <c r="F51" s="10">
        <f>F47*F38</f>
        <v/>
      </c>
      <c r="G51" s="10">
        <f>G47*G38</f>
        <v/>
      </c>
      <c r="H51" s="10">
        <f>H47*H38</f>
        <v/>
      </c>
      <c r="I51" s="10">
        <f>I47*I38</f>
        <v/>
      </c>
      <c r="J51" s="10">
        <f>J47*I38</f>
        <v/>
      </c>
    </row>
    <row r="52">
      <c r="A52" t="inlineStr">
        <is>
          <t xml:space="preserve">  EBIT Margin (%)</t>
        </is>
      </c>
      <c r="C52" s="18">
        <f>C51/C47</f>
        <v/>
      </c>
      <c r="D52" s="18">
        <f>D51/D47</f>
        <v/>
      </c>
      <c r="E52" s="18">
        <f>E51/E47</f>
        <v/>
      </c>
      <c r="F52" s="18">
        <f>F51/F47</f>
        <v/>
      </c>
      <c r="G52" s="18">
        <f>G51/G47</f>
        <v/>
      </c>
      <c r="H52" s="18">
        <f>H51/H47</f>
        <v/>
      </c>
      <c r="I52" s="18">
        <f>I51/I47</f>
        <v/>
      </c>
      <c r="J52" s="18">
        <f>J51/J47</f>
        <v/>
      </c>
    </row>
    <row r="53">
      <c r="A53" t="inlineStr">
        <is>
          <t>(-) Cash Taxes (EBIT * 21%)</t>
        </is>
      </c>
      <c r="E53" s="19">
        <f>E51*$B$15</f>
        <v/>
      </c>
      <c r="F53" s="19">
        <f>F51*$B$15</f>
        <v/>
      </c>
      <c r="G53" s="19">
        <f>G51*$B$15</f>
        <v/>
      </c>
      <c r="H53" s="19">
        <f>H51*$B$15</f>
        <v/>
      </c>
      <c r="I53" s="19">
        <f>I51*$B$15</f>
        <v/>
      </c>
      <c r="J53" s="19">
        <f>J51*$B$15</f>
        <v/>
      </c>
    </row>
    <row r="54">
      <c r="A54" t="inlineStr">
        <is>
          <t>Net Operating Profit After Tax (NOPAT)</t>
        </is>
      </c>
      <c r="E54" s="20">
        <f>E51-E53</f>
        <v/>
      </c>
      <c r="F54" s="20">
        <f>F51-F53</f>
        <v/>
      </c>
      <c r="G54" s="20">
        <f>G51-G53</f>
        <v/>
      </c>
      <c r="H54" s="20">
        <f>H51-H53</f>
        <v/>
      </c>
      <c r="I54" s="20">
        <f>I51-I53</f>
        <v/>
      </c>
      <c r="J54" s="20">
        <f>J51-J53</f>
        <v/>
      </c>
    </row>
    <row r="55">
      <c r="A55" t="inlineStr">
        <is>
          <t>(+) Depreciation &amp; Amortization</t>
        </is>
      </c>
      <c r="C55" s="19" t="n">
        <v>0.46</v>
      </c>
      <c r="D55" s="19" t="n">
        <v>1.04</v>
      </c>
      <c r="E55" s="19">
        <f>E47*E41</f>
        <v/>
      </c>
      <c r="F55" s="19">
        <f>F47*F41</f>
        <v/>
      </c>
      <c r="G55" s="19">
        <f>G47*G41</f>
        <v/>
      </c>
      <c r="H55" s="19">
        <f>H47*H41</f>
        <v/>
      </c>
      <c r="I55" s="19">
        <f>I47*I41</f>
        <v/>
      </c>
      <c r="J55" s="19">
        <f>J47*I41</f>
        <v/>
      </c>
    </row>
    <row r="56">
      <c r="A56" t="inlineStr">
        <is>
          <t>(-) Capital Expenditures (CapEx)</t>
        </is>
      </c>
      <c r="E56" s="19">
        <f>E47*E42</f>
        <v/>
      </c>
      <c r="F56" s="19">
        <f>F47*F42</f>
        <v/>
      </c>
      <c r="G56" s="19">
        <f>G47*G42</f>
        <v/>
      </c>
      <c r="H56" s="19">
        <f>H47*H42</f>
        <v/>
      </c>
      <c r="I56" s="19">
        <f>I47*I42</f>
        <v/>
      </c>
      <c r="J56" s="19">
        <f>J47*I42</f>
        <v/>
      </c>
    </row>
    <row r="57">
      <c r="A57" t="inlineStr">
        <is>
          <t>(-) Change in Net Working Capital (ΔNWC)</t>
        </is>
      </c>
      <c r="E57" s="19">
        <f>(E47-D47)*E43</f>
        <v/>
      </c>
      <c r="F57" s="19">
        <f>(F47-E47)*F43</f>
        <v/>
      </c>
      <c r="G57" s="19">
        <f>(G47-F47)*G43</f>
        <v/>
      </c>
      <c r="H57" s="19">
        <f>(H47-G47)*H43</f>
        <v/>
      </c>
      <c r="I57" s="19">
        <f>(I47-H47)*I43</f>
        <v/>
      </c>
      <c r="J57" s="19">
        <f>(J47-I47)*I43</f>
        <v/>
      </c>
    </row>
    <row r="58">
      <c r="A58" t="inlineStr">
        <is>
          <t>Unlevered Free Cash Flow (UFCF)</t>
        </is>
      </c>
      <c r="E58" s="21">
        <f>E54+E55-E56-E57</f>
        <v/>
      </c>
      <c r="F58" s="21">
        <f>F54+F55-F56-F57</f>
        <v/>
      </c>
      <c r="G58" s="21">
        <f>G54+G55-G56-G57</f>
        <v/>
      </c>
      <c r="H58" s="21">
        <f>H54+H55-H56-H57</f>
        <v/>
      </c>
      <c r="I58" s="21">
        <f>I54+I55-I56-I57</f>
        <v/>
      </c>
      <c r="J58" s="21">
        <f>J54+J55-J56-J57</f>
        <v/>
      </c>
    </row>
    <row r="59"/>
    <row r="60">
      <c r="A60" s="3" t="inlineStr">
        <is>
          <t>6. DISCOUNTING &amp; CASH FLOW PRESENT VALUE ($M)</t>
        </is>
      </c>
    </row>
    <row r="61">
      <c r="A61" t="inlineStr">
        <is>
          <t>Discount Period (Mid-Year Convention)</t>
        </is>
      </c>
      <c r="E61" s="22" t="n">
        <v>0.5</v>
      </c>
      <c r="F61" s="22" t="n">
        <v>1.5</v>
      </c>
      <c r="G61" s="22" t="n">
        <v>2.5</v>
      </c>
      <c r="H61" s="22" t="n">
        <v>3.5</v>
      </c>
      <c r="I61" s="22" t="n">
        <v>4.5</v>
      </c>
      <c r="J61" s="22" t="n">
        <v>5</v>
      </c>
    </row>
    <row r="62">
      <c r="A62" t="inlineStr">
        <is>
          <t>Discount Factor (1 / (1 + WACC)^t)</t>
        </is>
      </c>
      <c r="E62" s="23">
        <f>1/(1+$E$39)^E61</f>
        <v/>
      </c>
      <c r="F62" s="23">
        <f>1/(1+$E$39)^F61</f>
        <v/>
      </c>
      <c r="G62" s="23">
        <f>1/(1+$E$39)^G61</f>
        <v/>
      </c>
      <c r="H62" s="23">
        <f>1/(1+$E$39)^H61</f>
        <v/>
      </c>
      <c r="I62" s="23">
        <f>1/(1+$E$39)^I61</f>
        <v/>
      </c>
      <c r="J62" s="23">
        <f>1/(1+$E$39)^J61</f>
        <v/>
      </c>
    </row>
    <row r="63">
      <c r="A63" t="inlineStr">
        <is>
          <t>Present Value of Projected FCF ($M)</t>
        </is>
      </c>
      <c r="E63" s="20">
        <f>E58*E62</f>
        <v/>
      </c>
      <c r="F63" s="20">
        <f>F58*F62</f>
        <v/>
      </c>
      <c r="G63" s="20">
        <f>G58*G62</f>
        <v/>
      </c>
      <c r="H63" s="20">
        <f>H58*H62</f>
        <v/>
      </c>
      <c r="I63" s="20">
        <f>I58*I62</f>
        <v/>
      </c>
      <c r="J63" s="24" t="inlineStr">
        <is>
          <t>-</t>
        </is>
      </c>
    </row>
    <row r="64"/>
    <row r="65">
      <c r="A65" s="3" t="inlineStr">
        <is>
          <t>7. VALUATION SUMMARY &amp; PER SHARE EQUITY VALUE BRIDGE</t>
        </is>
      </c>
    </row>
    <row r="66">
      <c r="A66" s="4" t="inlineStr">
        <is>
          <t>Cumulative PV of Explicit FCFs (FY26E - FY30E)</t>
        </is>
      </c>
      <c r="B66" s="10">
        <f>SUM(E63:I63)</f>
        <v/>
      </c>
    </row>
    <row r="67">
      <c r="A67" s="7" t="inlineStr">
        <is>
          <t>Terminal Year Unlevered Free Cash Flow (FCF_n+1)</t>
        </is>
      </c>
      <c r="B67" s="25">
        <f>I58*(1+E40)</f>
        <v/>
      </c>
    </row>
    <row r="68">
      <c r="A68" s="7" t="inlineStr">
        <is>
          <t>Terminal Value at Year 5 (TV_5 = FCF_n+1 / (WACC - g))</t>
        </is>
      </c>
      <c r="B68" s="25">
        <f>B67/($E$39-$E$40)</f>
        <v/>
      </c>
    </row>
    <row r="69">
      <c r="A69" s="4" t="inlineStr">
        <is>
          <t>Present Value of Terminal Value (PV of TV)</t>
        </is>
      </c>
      <c r="B69" s="10">
        <f>B68*J62</f>
        <v/>
      </c>
    </row>
    <row r="70">
      <c r="A70" s="6" t="inlineStr">
        <is>
          <t>Enterprise Value (EV)</t>
        </is>
      </c>
      <c r="B70" s="26">
        <f>B66+B69</f>
        <v/>
      </c>
    </row>
    <row r="71">
      <c r="A71" s="7" t="inlineStr">
        <is>
          <t xml:space="preserve">  Terminal Value as % of Enterprise Value</t>
        </is>
      </c>
      <c r="B71" s="27">
        <f>B69/B70</f>
        <v/>
      </c>
    </row>
    <row r="72">
      <c r="A72" s="7" t="inlineStr">
        <is>
          <t>(-) Total Debt</t>
        </is>
      </c>
      <c r="B72" s="25">
        <f>$B$13</f>
        <v/>
      </c>
    </row>
    <row r="73">
      <c r="A73" s="7" t="inlineStr">
        <is>
          <t>(+) Cash and Cash Equivalents</t>
        </is>
      </c>
      <c r="B73" s="25">
        <f>$B$12</f>
        <v/>
      </c>
    </row>
    <row r="74">
      <c r="A74" s="4" t="inlineStr">
        <is>
          <t>(-) Net Debt (Total Debt - Cash)</t>
        </is>
      </c>
      <c r="B74" s="10">
        <f>B72-B73</f>
        <v/>
      </c>
    </row>
    <row r="75">
      <c r="A75" s="6" t="inlineStr">
        <is>
          <t>Implied Equity Value (EV - Net Debt)</t>
        </is>
      </c>
      <c r="B75" s="26">
        <f>B70-B74</f>
        <v/>
      </c>
    </row>
    <row r="76">
      <c r="A76" s="7" t="inlineStr">
        <is>
          <t>Diluted Shares Outstanding (M)</t>
        </is>
      </c>
      <c r="B76" s="28">
        <f>$B$10</f>
        <v/>
      </c>
    </row>
    <row r="77">
      <c r="A77" s="6" t="inlineStr">
        <is>
          <t>Implied Share Price ($ / share)</t>
        </is>
      </c>
      <c r="B77" s="26">
        <f>B75/B76</f>
        <v/>
      </c>
    </row>
    <row r="78">
      <c r="A78" s="7" t="inlineStr">
        <is>
          <t>Current Market Share Price ($)</t>
        </is>
      </c>
      <c r="B78" s="25">
        <f>$B$9</f>
        <v/>
      </c>
    </row>
    <row r="79">
      <c r="A79" s="4" t="inlineStr">
        <is>
          <t>Implied Upside / (Downside) vs Current Price (%)</t>
        </is>
      </c>
      <c r="B79" s="29">
        <f>(B77/B78)-1</f>
        <v/>
      </c>
    </row>
    <row r="80"/>
    <row r="81">
      <c r="A81" s="3" t="inlineStr">
        <is>
          <t>8. SENSITIVITY ANALYSIS 1: WACC VS. TERMINAL GROWTH RATE (Implied Share Price $)</t>
        </is>
      </c>
    </row>
    <row r="82">
      <c r="A82" s="30" t="inlineStr">
        <is>
          <t>WACC \ Term g</t>
        </is>
      </c>
      <c r="C82" s="31" t="n">
        <v>0.015</v>
      </c>
      <c r="D82" s="31" t="n">
        <v>0.02</v>
      </c>
      <c r="E82" s="31" t="n">
        <v>0.025</v>
      </c>
      <c r="F82" s="31" t="n">
        <v>0.03</v>
      </c>
      <c r="G82" s="31" t="n">
        <v>0.035</v>
      </c>
    </row>
    <row r="83">
      <c r="A83" s="31" t="n">
        <v>0.09</v>
      </c>
      <c r="C83" s="32">
        <f>((E$63*( (1+$E$39)^0.5 / (1+$A83)^0.5 ) + F$63*( (1+$E$39)^1.5 / (1+$A83)^1.5 ) + G$63*( (1+$E$39)^2.5 / (1+$A83)^2.5 ) + H$63*( (1+$E$39)^3.5 / (1+$A83)^3.5 ) + I$63*( (1+$E$39)^4.5 / (1+$A83)^4.5 )) + ($B$67/($A83-C$82))/(1+$A83)^5.0 - $B$74)/$B$76</f>
        <v/>
      </c>
      <c r="D83" s="32">
        <f>((E$63*( (1+$E$39)^0.5 / (1+$A83)^0.5 ) + F$63*( (1+$E$39)^1.5 / (1+$A83)^1.5 ) + G$63*( (1+$E$39)^2.5 / (1+$A83)^2.5 ) + H$63*( (1+$E$39)^3.5 / (1+$A83)^3.5 ) + I$63*( (1+$E$39)^4.5 / (1+$A83)^4.5 )) + ($B$67/($A83-D$82))/(1+$A83)^5.0 - $B$74)/$B$76</f>
        <v/>
      </c>
      <c r="E83" s="32">
        <f>((E$63*( (1+$E$39)^0.5 / (1+$A83)^0.5 ) + F$63*( (1+$E$39)^1.5 / (1+$A83)^1.5 ) + G$63*( (1+$E$39)^2.5 / (1+$A83)^2.5 ) + H$63*( (1+$E$39)^3.5 / (1+$A83)^3.5 ) + I$63*( (1+$E$39)^4.5 / (1+$A83)^4.5 )) + ($B$67/($A83-E$82))/(1+$A83)^5.0 - $B$74)/$B$76</f>
        <v/>
      </c>
      <c r="F83" s="32">
        <f>((E$63*( (1+$E$39)^0.5 / (1+$A83)^0.5 ) + F$63*( (1+$E$39)^1.5 / (1+$A83)^1.5 ) + G$63*( (1+$E$39)^2.5 / (1+$A83)^2.5 ) + H$63*( (1+$E$39)^3.5 / (1+$A83)^3.5 ) + I$63*( (1+$E$39)^4.5 / (1+$A83)^4.5 )) + ($B$67/($A83-F$82))/(1+$A83)^5.0 - $B$74)/$B$76</f>
        <v/>
      </c>
      <c r="G83" s="32">
        <f>((E$63*( (1+$E$39)^0.5 / (1+$A83)^0.5 ) + F$63*( (1+$E$39)^1.5 / (1+$A83)^1.5 ) + G$63*( (1+$E$39)^2.5 / (1+$A83)^2.5 ) + H$63*( (1+$E$39)^3.5 / (1+$A83)^3.5 ) + I$63*( (1+$E$39)^4.5 / (1+$A83)^4.5 )) + ($B$67/($A83-G$82))/(1+$A83)^5.0 - $B$74)/$B$76</f>
        <v/>
      </c>
    </row>
    <row r="84">
      <c r="A84" s="31" t="n">
        <v>0.095</v>
      </c>
      <c r="C84" s="32">
        <f>((E$63*( (1+$E$39)^0.5 / (1+$A84)^0.5 ) + F$63*( (1+$E$39)^1.5 / (1+$A84)^1.5 ) + G$63*( (1+$E$39)^2.5 / (1+$A84)^2.5 ) + H$63*( (1+$E$39)^3.5 / (1+$A84)^3.5 ) + I$63*( (1+$E$39)^4.5 / (1+$A84)^4.5 )) + ($B$67/($A84-C$82))/(1+$A84)^5.0 - $B$74)/$B$76</f>
        <v/>
      </c>
      <c r="D84" s="32">
        <f>((E$63*( (1+$E$39)^0.5 / (1+$A84)^0.5 ) + F$63*( (1+$E$39)^1.5 / (1+$A84)^1.5 ) + G$63*( (1+$E$39)^2.5 / (1+$A84)^2.5 ) + H$63*( (1+$E$39)^3.5 / (1+$A84)^3.5 ) + I$63*( (1+$E$39)^4.5 / (1+$A84)^4.5 )) + ($B$67/($A84-D$82))/(1+$A84)^5.0 - $B$74)/$B$76</f>
        <v/>
      </c>
      <c r="E84" s="32">
        <f>((E$63*( (1+$E$39)^0.5 / (1+$A84)^0.5 ) + F$63*( (1+$E$39)^1.5 / (1+$A84)^1.5 ) + G$63*( (1+$E$39)^2.5 / (1+$A84)^2.5 ) + H$63*( (1+$E$39)^3.5 / (1+$A84)^3.5 ) + I$63*( (1+$E$39)^4.5 / (1+$A84)^4.5 )) + ($B$67/($A84-E$82))/(1+$A84)^5.0 - $B$74)/$B$76</f>
        <v/>
      </c>
      <c r="F84" s="32">
        <f>((E$63*( (1+$E$39)^0.5 / (1+$A84)^0.5 ) + F$63*( (1+$E$39)^1.5 / (1+$A84)^1.5 ) + G$63*( (1+$E$39)^2.5 / (1+$A84)^2.5 ) + H$63*( (1+$E$39)^3.5 / (1+$A84)^3.5 ) + I$63*( (1+$E$39)^4.5 / (1+$A84)^4.5 )) + ($B$67/($A84-F$82))/(1+$A84)^5.0 - $B$74)/$B$76</f>
        <v/>
      </c>
      <c r="G84" s="32">
        <f>((E$63*( (1+$E$39)^0.5 / (1+$A84)^0.5 ) + F$63*( (1+$E$39)^1.5 / (1+$A84)^1.5 ) + G$63*( (1+$E$39)^2.5 / (1+$A84)^2.5 ) + H$63*( (1+$E$39)^3.5 / (1+$A84)^3.5 ) + I$63*( (1+$E$39)^4.5 / (1+$A84)^4.5 )) + ($B$67/($A84-G$82))/(1+$A84)^5.0 - $B$74)/$B$76</f>
        <v/>
      </c>
    </row>
    <row r="85">
      <c r="A85" s="31" t="n">
        <v>0.1</v>
      </c>
      <c r="C85" s="32">
        <f>((E$63*( (1+$E$39)^0.5 / (1+$A85)^0.5 ) + F$63*( (1+$E$39)^1.5 / (1+$A85)^1.5 ) + G$63*( (1+$E$39)^2.5 / (1+$A85)^2.5 ) + H$63*( (1+$E$39)^3.5 / (1+$A85)^3.5 ) + I$63*( (1+$E$39)^4.5 / (1+$A85)^4.5 )) + ($B$67/($A85-C$82))/(1+$A85)^5.0 - $B$74)/$B$76</f>
        <v/>
      </c>
      <c r="D85" s="32">
        <f>((E$63*( (1+$E$39)^0.5 / (1+$A85)^0.5 ) + F$63*( (1+$E$39)^1.5 / (1+$A85)^1.5 ) + G$63*( (1+$E$39)^2.5 / (1+$A85)^2.5 ) + H$63*( (1+$E$39)^3.5 / (1+$A85)^3.5 ) + I$63*( (1+$E$39)^4.5 / (1+$A85)^4.5 )) + ($B$67/($A85-D$82))/(1+$A85)^5.0 - $B$74)/$B$76</f>
        <v/>
      </c>
      <c r="E85" s="33">
        <f>((E$63*( (1+$E$39)^0.5 / (1+$A85)^0.5 ) + F$63*( (1+$E$39)^1.5 / (1+$A85)^1.5 ) + G$63*( (1+$E$39)^2.5 / (1+$A85)^2.5 ) + H$63*( (1+$E$39)^3.5 / (1+$A85)^3.5 ) + I$63*( (1+$E$39)^4.5 / (1+$A85)^4.5 )) + ($B$67/($A85-E$82))/(1+$A85)^5.0 - $B$74)/$B$76</f>
        <v/>
      </c>
      <c r="F85" s="32">
        <f>((E$63*( (1+$E$39)^0.5 / (1+$A85)^0.5 ) + F$63*( (1+$E$39)^1.5 / (1+$A85)^1.5 ) + G$63*( (1+$E$39)^2.5 / (1+$A85)^2.5 ) + H$63*( (1+$E$39)^3.5 / (1+$A85)^3.5 ) + I$63*( (1+$E$39)^4.5 / (1+$A85)^4.5 )) + ($B$67/($A85-F$82))/(1+$A85)^5.0 - $B$74)/$B$76</f>
        <v/>
      </c>
      <c r="G85" s="32">
        <f>((E$63*( (1+$E$39)^0.5 / (1+$A85)^0.5 ) + F$63*( (1+$E$39)^1.5 / (1+$A85)^1.5 ) + G$63*( (1+$E$39)^2.5 / (1+$A85)^2.5 ) + H$63*( (1+$E$39)^3.5 / (1+$A85)^3.5 ) + I$63*( (1+$E$39)^4.5 / (1+$A85)^4.5 )) + ($B$67/($A85-G$82))/(1+$A85)^5.0 - $B$74)/$B$76</f>
        <v/>
      </c>
    </row>
    <row r="86">
      <c r="A86" s="31" t="n">
        <v>0.105</v>
      </c>
      <c r="C86" s="32">
        <f>((E$63*( (1+$E$39)^0.5 / (1+$A86)^0.5 ) + F$63*( (1+$E$39)^1.5 / (1+$A86)^1.5 ) + G$63*( (1+$E$39)^2.5 / (1+$A86)^2.5 ) + H$63*( (1+$E$39)^3.5 / (1+$A86)^3.5 ) + I$63*( (1+$E$39)^4.5 / (1+$A86)^4.5 )) + ($B$67/($A86-C$82))/(1+$A86)^5.0 - $B$74)/$B$76</f>
        <v/>
      </c>
      <c r="D86" s="32">
        <f>((E$63*( (1+$E$39)^0.5 / (1+$A86)^0.5 ) + F$63*( (1+$E$39)^1.5 / (1+$A86)^1.5 ) + G$63*( (1+$E$39)^2.5 / (1+$A86)^2.5 ) + H$63*( (1+$E$39)^3.5 / (1+$A86)^3.5 ) + I$63*( (1+$E$39)^4.5 / (1+$A86)^4.5 )) + ($B$67/($A86-D$82))/(1+$A86)^5.0 - $B$74)/$B$76</f>
        <v/>
      </c>
      <c r="E86" s="32">
        <f>((E$63*( (1+$E$39)^0.5 / (1+$A86)^0.5 ) + F$63*( (1+$E$39)^1.5 / (1+$A86)^1.5 ) + G$63*( (1+$E$39)^2.5 / (1+$A86)^2.5 ) + H$63*( (1+$E$39)^3.5 / (1+$A86)^3.5 ) + I$63*( (1+$E$39)^4.5 / (1+$A86)^4.5 )) + ($B$67/($A86-E$82))/(1+$A86)^5.0 - $B$74)/$B$76</f>
        <v/>
      </c>
      <c r="F86" s="32">
        <f>((E$63*( (1+$E$39)^0.5 / (1+$A86)^0.5 ) + F$63*( (1+$E$39)^1.5 / (1+$A86)^1.5 ) + G$63*( (1+$E$39)^2.5 / (1+$A86)^2.5 ) + H$63*( (1+$E$39)^3.5 / (1+$A86)^3.5 ) + I$63*( (1+$E$39)^4.5 / (1+$A86)^4.5 )) + ($B$67/($A86-F$82))/(1+$A86)^5.0 - $B$74)/$B$76</f>
        <v/>
      </c>
      <c r="G86" s="32">
        <f>((E$63*( (1+$E$39)^0.5 / (1+$A86)^0.5 ) + F$63*( (1+$E$39)^1.5 / (1+$A86)^1.5 ) + G$63*( (1+$E$39)^2.5 / (1+$A86)^2.5 ) + H$63*( (1+$E$39)^3.5 / (1+$A86)^3.5 ) + I$63*( (1+$E$39)^4.5 / (1+$A86)^4.5 )) + ($B$67/($A86-G$82))/(1+$A86)^5.0 - $B$74)/$B$76</f>
        <v/>
      </c>
    </row>
    <row r="87">
      <c r="A87" s="31" t="n">
        <v>0.11</v>
      </c>
      <c r="C87" s="32">
        <f>((E$63*( (1+$E$39)^0.5 / (1+$A87)^0.5 ) + F$63*( (1+$E$39)^1.5 / (1+$A87)^1.5 ) + G$63*( (1+$E$39)^2.5 / (1+$A87)^2.5 ) + H$63*( (1+$E$39)^3.5 / (1+$A87)^3.5 ) + I$63*( (1+$E$39)^4.5 / (1+$A87)^4.5 )) + ($B$67/($A87-C$82))/(1+$A87)^5.0 - $B$74)/$B$76</f>
        <v/>
      </c>
      <c r="D87" s="32">
        <f>((E$63*( (1+$E$39)^0.5 / (1+$A87)^0.5 ) + F$63*( (1+$E$39)^1.5 / (1+$A87)^1.5 ) + G$63*( (1+$E$39)^2.5 / (1+$A87)^2.5 ) + H$63*( (1+$E$39)^3.5 / (1+$A87)^3.5 ) + I$63*( (1+$E$39)^4.5 / (1+$A87)^4.5 )) + ($B$67/($A87-D$82))/(1+$A87)^5.0 - $B$74)/$B$76</f>
        <v/>
      </c>
      <c r="E87" s="32">
        <f>((E$63*( (1+$E$39)^0.5 / (1+$A87)^0.5 ) + F$63*( (1+$E$39)^1.5 / (1+$A87)^1.5 ) + G$63*( (1+$E$39)^2.5 / (1+$A87)^2.5 ) + H$63*( (1+$E$39)^3.5 / (1+$A87)^3.5 ) + I$63*( (1+$E$39)^4.5 / (1+$A87)^4.5 )) + ($B$67/($A87-E$82))/(1+$A87)^5.0 - $B$74)/$B$76</f>
        <v/>
      </c>
      <c r="F87" s="32">
        <f>((E$63*( (1+$E$39)^0.5 / (1+$A87)^0.5 ) + F$63*( (1+$E$39)^1.5 / (1+$A87)^1.5 ) + G$63*( (1+$E$39)^2.5 / (1+$A87)^2.5 ) + H$63*( (1+$E$39)^3.5 / (1+$A87)^3.5 ) + I$63*( (1+$E$39)^4.5 / (1+$A87)^4.5 )) + ($B$67/($A87-F$82))/(1+$A87)^5.0 - $B$74)/$B$76</f>
        <v/>
      </c>
      <c r="G87" s="32">
        <f>((E$63*( (1+$E$39)^0.5 / (1+$A87)^0.5 ) + F$63*( (1+$E$39)^1.5 / (1+$A87)^1.5 ) + G$63*( (1+$E$39)^2.5 / (1+$A87)^2.5 ) + H$63*( (1+$E$39)^3.5 / (1+$A87)^3.5 ) + I$63*( (1+$E$39)^4.5 / (1+$A87)^4.5 )) + ($B$67/($A87-G$82))/(1+$A87)^5.0 - $B$74)/$B$76</f>
        <v/>
      </c>
    </row>
    <row r="88"/>
    <row r="89"/>
    <row r="90">
      <c r="A90" s="3" t="inlineStr">
        <is>
          <t>9. SENSITIVITY ANALYSIS 2: REVENUE GROWTH ADJUSTMENT VS. EBIT MARGIN (Implied Share Price $)</t>
        </is>
      </c>
    </row>
    <row r="91">
      <c r="A91" s="30" t="inlineStr">
        <is>
          <t>EBIT Margin \ Rev Growth</t>
        </is>
      </c>
      <c r="C91" s="34" t="n">
        <v>-0.02</v>
      </c>
      <c r="D91" s="34" t="n">
        <v>-0.01</v>
      </c>
      <c r="E91" s="34" t="n">
        <v>0</v>
      </c>
      <c r="F91" s="34" t="n">
        <v>0.01</v>
      </c>
      <c r="G91" s="34" t="n">
        <v>0.02</v>
      </c>
    </row>
    <row r="92">
      <c r="A92" s="31" t="n">
        <v>0.018</v>
      </c>
      <c r="C92" s="32">
        <f>((E$63*(1+C$91)*($A92/$I$38) + F$63*(1+C$91)*($A92/$I$38) + G$63*(1+C$91)*($A92/$I$38) + H$63*(1+C$91)*($A92/$I$38) + I$63*(1+C$91)*($A92/$I$38)) + ($B$69*(1+C$91)*($A92/$I$38)) - $B$74)/$B$76</f>
        <v/>
      </c>
      <c r="D92" s="32">
        <f>((E$63*(1+D$91)*($A92/$I$38) + F$63*(1+D$91)*($A92/$I$38) + G$63*(1+D$91)*($A92/$I$38) + H$63*(1+D$91)*($A92/$I$38) + I$63*(1+D$91)*($A92/$I$38)) + ($B$69*(1+D$91)*($A92/$I$38)) - $B$74)/$B$76</f>
        <v/>
      </c>
      <c r="E92" s="32">
        <f>((E$63*(1+E$91)*($A92/$I$38) + F$63*(1+E$91)*($A92/$I$38) + G$63*(1+E$91)*($A92/$I$38) + H$63*(1+E$91)*($A92/$I$38) + I$63*(1+E$91)*($A92/$I$38)) + ($B$69*(1+E$91)*($A92/$I$38)) - $B$74)/$B$76</f>
        <v/>
      </c>
      <c r="F92" s="32">
        <f>((E$63*(1+F$91)*($A92/$I$38) + F$63*(1+F$91)*($A92/$I$38) + G$63*(1+F$91)*($A92/$I$38) + H$63*(1+F$91)*($A92/$I$38) + I$63*(1+F$91)*($A92/$I$38)) + ($B$69*(1+F$91)*($A92/$I$38)) - $B$74)/$B$76</f>
        <v/>
      </c>
      <c r="G92" s="32">
        <f>((E$63*(1+G$91)*($A92/$I$38) + F$63*(1+G$91)*($A92/$I$38) + G$63*(1+G$91)*($A92/$I$38) + H$63*(1+G$91)*($A92/$I$38) + I$63*(1+G$91)*($A92/$I$38)) + ($B$69*(1+G$91)*($A92/$I$38)) - $B$74)/$B$76</f>
        <v/>
      </c>
    </row>
    <row r="93">
      <c r="A93" s="31" t="n">
        <v>0.023</v>
      </c>
      <c r="C93" s="32">
        <f>((E$63*(1+C$91)*($A93/$I$38) + F$63*(1+C$91)*($A93/$I$38) + G$63*(1+C$91)*($A93/$I$38) + H$63*(1+C$91)*($A93/$I$38) + I$63*(1+C$91)*($A93/$I$38)) + ($B$69*(1+C$91)*($A93/$I$38)) - $B$74)/$B$76</f>
        <v/>
      </c>
      <c r="D93" s="32">
        <f>((E$63*(1+D$91)*($A93/$I$38) + F$63*(1+D$91)*($A93/$I$38) + G$63*(1+D$91)*($A93/$I$38) + H$63*(1+D$91)*($A93/$I$38) + I$63*(1+D$91)*($A93/$I$38)) + ($B$69*(1+D$91)*($A93/$I$38)) - $B$74)/$B$76</f>
        <v/>
      </c>
      <c r="E93" s="32">
        <f>((E$63*(1+E$91)*($A93/$I$38) + F$63*(1+E$91)*($A93/$I$38) + G$63*(1+E$91)*($A93/$I$38) + H$63*(1+E$91)*($A93/$I$38) + I$63*(1+E$91)*($A93/$I$38)) + ($B$69*(1+E$91)*($A93/$I$38)) - $B$74)/$B$76</f>
        <v/>
      </c>
      <c r="F93" s="32">
        <f>((E$63*(1+F$91)*($A93/$I$38) + F$63*(1+F$91)*($A93/$I$38) + G$63*(1+F$91)*($A93/$I$38) + H$63*(1+F$91)*($A93/$I$38) + I$63*(1+F$91)*($A93/$I$38)) + ($B$69*(1+F$91)*($A93/$I$38)) - $B$74)/$B$76</f>
        <v/>
      </c>
      <c r="G93" s="32">
        <f>((E$63*(1+G$91)*($A93/$I$38) + F$63*(1+G$91)*($A93/$I$38) + G$63*(1+G$91)*($A93/$I$38) + H$63*(1+G$91)*($A93/$I$38) + I$63*(1+G$91)*($A93/$I$38)) + ($B$69*(1+G$91)*($A93/$I$38)) - $B$74)/$B$76</f>
        <v/>
      </c>
    </row>
    <row r="94">
      <c r="A94" s="31" t="n">
        <v>0.028</v>
      </c>
      <c r="C94" s="32">
        <f>((E$63*(1+C$91)*($A94/$I$38) + F$63*(1+C$91)*($A94/$I$38) + G$63*(1+C$91)*($A94/$I$38) + H$63*(1+C$91)*($A94/$I$38) + I$63*(1+C$91)*($A94/$I$38)) + ($B$69*(1+C$91)*($A94/$I$38)) - $B$74)/$B$76</f>
        <v/>
      </c>
      <c r="D94" s="32">
        <f>((E$63*(1+D$91)*($A94/$I$38) + F$63*(1+D$91)*($A94/$I$38) + G$63*(1+D$91)*($A94/$I$38) + H$63*(1+D$91)*($A94/$I$38) + I$63*(1+D$91)*($A94/$I$38)) + ($B$69*(1+D$91)*($A94/$I$38)) - $B$74)/$B$76</f>
        <v/>
      </c>
      <c r="E94" s="33">
        <f>((E$63*(1+E$91)*($A94/$I$38) + F$63*(1+E$91)*($A94/$I$38) + G$63*(1+E$91)*($A94/$I$38) + H$63*(1+E$91)*($A94/$I$38) + I$63*(1+E$91)*($A94/$I$38)) + ($B$69*(1+E$91)*($A94/$I$38)) - $B$74)/$B$76</f>
        <v/>
      </c>
      <c r="F94" s="32">
        <f>((E$63*(1+F$91)*($A94/$I$38) + F$63*(1+F$91)*($A94/$I$38) + G$63*(1+F$91)*($A94/$I$38) + H$63*(1+F$91)*($A94/$I$38) + I$63*(1+F$91)*($A94/$I$38)) + ($B$69*(1+F$91)*($A94/$I$38)) - $B$74)/$B$76</f>
        <v/>
      </c>
      <c r="G94" s="32">
        <f>((E$63*(1+G$91)*($A94/$I$38) + F$63*(1+G$91)*($A94/$I$38) + G$63*(1+G$91)*($A94/$I$38) + H$63*(1+G$91)*($A94/$I$38) + I$63*(1+G$91)*($A94/$I$38)) + ($B$69*(1+G$91)*($A94/$I$38)) - $B$74)/$B$76</f>
        <v/>
      </c>
    </row>
    <row r="95">
      <c r="A95" s="31" t="n">
        <v>0.033</v>
      </c>
      <c r="C95" s="32">
        <f>((E$63*(1+C$91)*($A95/$I$38) + F$63*(1+C$91)*($A95/$I$38) + G$63*(1+C$91)*($A95/$I$38) + H$63*(1+C$91)*($A95/$I$38) + I$63*(1+C$91)*($A95/$I$38)) + ($B$69*(1+C$91)*($A95/$I$38)) - $B$74)/$B$76</f>
        <v/>
      </c>
      <c r="D95" s="32">
        <f>((E$63*(1+D$91)*($A95/$I$38) + F$63*(1+D$91)*($A95/$I$38) + G$63*(1+D$91)*($A95/$I$38) + H$63*(1+D$91)*($A95/$I$38) + I$63*(1+D$91)*($A95/$I$38)) + ($B$69*(1+D$91)*($A95/$I$38)) - $B$74)/$B$76</f>
        <v/>
      </c>
      <c r="E95" s="32">
        <f>((E$63*(1+E$91)*($A95/$I$38) + F$63*(1+E$91)*($A95/$I$38) + G$63*(1+E$91)*($A95/$I$38) + H$63*(1+E$91)*($A95/$I$38) + I$63*(1+E$91)*($A95/$I$38)) + ($B$69*(1+E$91)*($A95/$I$38)) - $B$74)/$B$76</f>
        <v/>
      </c>
      <c r="F95" s="32">
        <f>((E$63*(1+F$91)*($A95/$I$38) + F$63*(1+F$91)*($A95/$I$38) + G$63*(1+F$91)*($A95/$I$38) + H$63*(1+F$91)*($A95/$I$38) + I$63*(1+F$91)*($A95/$I$38)) + ($B$69*(1+F$91)*($A95/$I$38)) - $B$74)/$B$76</f>
        <v/>
      </c>
      <c r="G95" s="32">
        <f>((E$63*(1+G$91)*($A95/$I$38) + F$63*(1+G$91)*($A95/$I$38) + G$63*(1+G$91)*($A95/$I$38) + H$63*(1+G$91)*($A95/$I$38) + I$63*(1+G$91)*($A95/$I$38)) + ($B$69*(1+G$91)*($A95/$I$38)) - $B$74)/$B$76</f>
        <v/>
      </c>
    </row>
    <row r="96">
      <c r="A96" s="31" t="n">
        <v>0.038</v>
      </c>
      <c r="C96" s="32">
        <f>((E$63*(1+C$91)*($A96/$I$38) + F$63*(1+C$91)*($A96/$I$38) + G$63*(1+C$91)*($A96/$I$38) + H$63*(1+C$91)*($A96/$I$38) + I$63*(1+C$91)*($A96/$I$38)) + ($B$69*(1+C$91)*($A96/$I$38)) - $B$74)/$B$76</f>
        <v/>
      </c>
      <c r="D96" s="32">
        <f>((E$63*(1+D$91)*($A96/$I$38) + F$63*(1+D$91)*($A96/$I$38) + G$63*(1+D$91)*($A96/$I$38) + H$63*(1+D$91)*($A96/$I$38) + I$63*(1+D$91)*($A96/$I$38)) + ($B$69*(1+D$91)*($A96/$I$38)) - $B$74)/$B$76</f>
        <v/>
      </c>
      <c r="E96" s="32">
        <f>((E$63*(1+E$91)*($A96/$I$38) + F$63*(1+E$91)*($A96/$I$38) + G$63*(1+E$91)*($A96/$I$38) + H$63*(1+E$91)*($A96/$I$38) + I$63*(1+E$91)*($A96/$I$38)) + ($B$69*(1+E$91)*($A96/$I$38)) - $B$74)/$B$76</f>
        <v/>
      </c>
      <c r="F96" s="32">
        <f>((E$63*(1+F$91)*($A96/$I$38) + F$63*(1+F$91)*($A96/$I$38) + G$63*(1+F$91)*($A96/$I$38) + H$63*(1+F$91)*($A96/$I$38) + I$63*(1+F$91)*($A96/$I$38)) + ($B$69*(1+F$91)*($A96/$I$38)) - $B$74)/$B$76</f>
        <v/>
      </c>
      <c r="G96" s="32">
        <f>((E$63*(1+G$91)*($A96/$I$38) + F$63*(1+G$91)*($A96/$I$38) + G$63*(1+G$91)*($A96/$I$38) + H$63*(1+G$91)*($A96/$I$38) + I$63*(1+G$91)*($A96/$I$38)) + ($B$69*(1+G$91)*($A96/$I$38)) - $B$74)/$B$76</f>
        <v/>
      </c>
    </row>
    <row r="97"/>
    <row r="98"/>
    <row r="99">
      <c r="A99" s="3" t="inlineStr">
        <is>
          <t>10. SENSITIVITY ANALYSIS 3: BETA VS. RISK-FREE RATE (Implied Share Price $)</t>
        </is>
      </c>
    </row>
    <row r="100">
      <c r="A100" s="30" t="inlineStr">
        <is>
          <t>Beta \ Risk-Free Rate</t>
        </is>
      </c>
      <c r="C100" s="35" t="n">
        <v>0.037</v>
      </c>
      <c r="D100" s="35" t="n">
        <v>0.042</v>
      </c>
      <c r="E100" s="35" t="n">
        <v>0.047</v>
      </c>
      <c r="F100" s="35" t="n">
        <v>0.052</v>
      </c>
      <c r="G100" s="35" t="n">
        <v>0.057</v>
      </c>
    </row>
    <row r="101">
      <c r="A101" s="36" t="n">
        <v>1</v>
      </c>
      <c r="C101" s="32">
        <f>((E$63*( (1+$E$39)^0.5 / (1+((C$100 + $A101*0.055 + 0.02)*0.5 + 0.0711*0.5))^0.5 ) + F$63*( (1+$E$39)^1.5 / (1+((C$100 + $A101*0.055 + 0.02)*0.5 + 0.0711*0.5))^1.5 ) + G$63*( (1+$E$39)^2.5 / (1+((C$100 + $A101*0.055 + 0.02)*0.5 + 0.0711*0.5))^2.5 ) + H$63*( (1+$E$39)^3.5 / (1+((C$100 + $A101*0.055 + 0.02)*0.5 + 0.0711*0.5))^3.5 ) + I$63*( (1+$E$39)^4.5 / (1+((C$100 + $A101*0.055 + 0.02)*0.5 + 0.0711*0.5))^4.5 )) + ($B$67/(((C$100 + $A101*0.055 + 0.02)*0.5 + 0.0711*0.5)-$E$40))/(1+((C$100 + $A101*0.055 + 0.02)*0.5 + 0.0711*0.5))^5.0 - $B$74)/$B$76</f>
        <v/>
      </c>
      <c r="D101" s="32">
        <f>((E$63*( (1+$E$39)^0.5 / (1+((D$100 + $A101*0.055 + 0.02)*0.5 + 0.0711*0.5))^0.5 ) + F$63*( (1+$E$39)^1.5 / (1+((D$100 + $A101*0.055 + 0.02)*0.5 + 0.0711*0.5))^1.5 ) + G$63*( (1+$E$39)^2.5 / (1+((D$100 + $A101*0.055 + 0.02)*0.5 + 0.0711*0.5))^2.5 ) + H$63*( (1+$E$39)^3.5 / (1+((D$100 + $A101*0.055 + 0.02)*0.5 + 0.0711*0.5))^3.5 ) + I$63*( (1+$E$39)^4.5 / (1+((D$100 + $A101*0.055 + 0.02)*0.5 + 0.0711*0.5))^4.5 )) + ($B$67/(((D$100 + $A101*0.055 + 0.02)*0.5 + 0.0711*0.5)-$E$40))/(1+((D$100 + $A101*0.055 + 0.02)*0.5 + 0.0711*0.5))^5.0 - $B$74)/$B$76</f>
        <v/>
      </c>
      <c r="E101" s="32">
        <f>((E$63*( (1+$E$39)^0.5 / (1+((E$100 + $A101*0.055 + 0.02)*0.5 + 0.0711*0.5))^0.5 ) + F$63*( (1+$E$39)^1.5 / (1+((E$100 + $A101*0.055 + 0.02)*0.5 + 0.0711*0.5))^1.5 ) + G$63*( (1+$E$39)^2.5 / (1+((E$100 + $A101*0.055 + 0.02)*0.5 + 0.0711*0.5))^2.5 ) + H$63*( (1+$E$39)^3.5 / (1+((E$100 + $A101*0.055 + 0.02)*0.5 + 0.0711*0.5))^3.5 ) + I$63*( (1+$E$39)^4.5 / (1+((E$100 + $A101*0.055 + 0.02)*0.5 + 0.0711*0.5))^4.5 )) + ($B$67/(((E$100 + $A101*0.055 + 0.02)*0.5 + 0.0711*0.5)-$E$40))/(1+((E$100 + $A101*0.055 + 0.02)*0.5 + 0.0711*0.5))^5.0 - $B$74)/$B$76</f>
        <v/>
      </c>
      <c r="F101" s="32">
        <f>((E$63*( (1+$E$39)^0.5 / (1+((F$100 + $A101*0.055 + 0.02)*0.5 + 0.0711*0.5))^0.5 ) + F$63*( (1+$E$39)^1.5 / (1+((F$100 + $A101*0.055 + 0.02)*0.5 + 0.0711*0.5))^1.5 ) + G$63*( (1+$E$39)^2.5 / (1+((F$100 + $A101*0.055 + 0.02)*0.5 + 0.0711*0.5))^2.5 ) + H$63*( (1+$E$39)^3.5 / (1+((F$100 + $A101*0.055 + 0.02)*0.5 + 0.0711*0.5))^3.5 ) + I$63*( (1+$E$39)^4.5 / (1+((F$100 + $A101*0.055 + 0.02)*0.5 + 0.0711*0.5))^4.5 )) + ($B$67/(((F$100 + $A101*0.055 + 0.02)*0.5 + 0.0711*0.5)-$E$40))/(1+((F$100 + $A101*0.055 + 0.02)*0.5 + 0.0711*0.5))^5.0 - $B$74)/$B$76</f>
        <v/>
      </c>
      <c r="G101" s="32">
        <f>((E$63*( (1+$E$39)^0.5 / (1+((G$100 + $A101*0.055 + 0.02)*0.5 + 0.0711*0.5))^0.5 ) + F$63*( (1+$E$39)^1.5 / (1+((G$100 + $A101*0.055 + 0.02)*0.5 + 0.0711*0.5))^1.5 ) + G$63*( (1+$E$39)^2.5 / (1+((G$100 + $A101*0.055 + 0.02)*0.5 + 0.0711*0.5))^2.5 ) + H$63*( (1+$E$39)^3.5 / (1+((G$100 + $A101*0.055 + 0.02)*0.5 + 0.0711*0.5))^3.5 ) + I$63*( (1+$E$39)^4.5 / (1+((G$100 + $A101*0.055 + 0.02)*0.5 + 0.0711*0.5))^4.5 )) + ($B$67/(((G$100 + $A101*0.055 + 0.02)*0.5 + 0.0711*0.5)-$E$40))/(1+((G$100 + $A101*0.055 + 0.02)*0.5 + 0.0711*0.5))^5.0 - $B$74)/$B$76</f>
        <v/>
      </c>
    </row>
    <row r="102">
      <c r="A102" s="36" t="n">
        <v>1.1</v>
      </c>
      <c r="C102" s="32">
        <f>((E$63*( (1+$E$39)^0.5 / (1+((C$100 + $A102*0.055 + 0.02)*0.5 + 0.0711*0.5))^0.5 ) + F$63*( (1+$E$39)^1.5 / (1+((C$100 + $A102*0.055 + 0.02)*0.5 + 0.0711*0.5))^1.5 ) + G$63*( (1+$E$39)^2.5 / (1+((C$100 + $A102*0.055 + 0.02)*0.5 + 0.0711*0.5))^2.5 ) + H$63*( (1+$E$39)^3.5 / (1+((C$100 + $A102*0.055 + 0.02)*0.5 + 0.0711*0.5))^3.5 ) + I$63*( (1+$E$39)^4.5 / (1+((C$100 + $A102*0.055 + 0.02)*0.5 + 0.0711*0.5))^4.5 )) + ($B$67/(((C$100 + $A102*0.055 + 0.02)*0.5 + 0.0711*0.5)-$E$40))/(1+((C$100 + $A102*0.055 + 0.02)*0.5 + 0.0711*0.5))^5.0 - $B$74)/$B$76</f>
        <v/>
      </c>
      <c r="D102" s="32">
        <f>((E$63*( (1+$E$39)^0.5 / (1+((D$100 + $A102*0.055 + 0.02)*0.5 + 0.0711*0.5))^0.5 ) + F$63*( (1+$E$39)^1.5 / (1+((D$100 + $A102*0.055 + 0.02)*0.5 + 0.0711*0.5))^1.5 ) + G$63*( (1+$E$39)^2.5 / (1+((D$100 + $A102*0.055 + 0.02)*0.5 + 0.0711*0.5))^2.5 ) + H$63*( (1+$E$39)^3.5 / (1+((D$100 + $A102*0.055 + 0.02)*0.5 + 0.0711*0.5))^3.5 ) + I$63*( (1+$E$39)^4.5 / (1+((D$100 + $A102*0.055 + 0.02)*0.5 + 0.0711*0.5))^4.5 )) + ($B$67/(((D$100 + $A102*0.055 + 0.02)*0.5 + 0.0711*0.5)-$E$40))/(1+((D$100 + $A102*0.055 + 0.02)*0.5 + 0.0711*0.5))^5.0 - $B$74)/$B$76</f>
        <v/>
      </c>
      <c r="E102" s="32">
        <f>((E$63*( (1+$E$39)^0.5 / (1+((E$100 + $A102*0.055 + 0.02)*0.5 + 0.0711*0.5))^0.5 ) + F$63*( (1+$E$39)^1.5 / (1+((E$100 + $A102*0.055 + 0.02)*0.5 + 0.0711*0.5))^1.5 ) + G$63*( (1+$E$39)^2.5 / (1+((E$100 + $A102*0.055 + 0.02)*0.5 + 0.0711*0.5))^2.5 ) + H$63*( (1+$E$39)^3.5 / (1+((E$100 + $A102*0.055 + 0.02)*0.5 + 0.0711*0.5))^3.5 ) + I$63*( (1+$E$39)^4.5 / (1+((E$100 + $A102*0.055 + 0.02)*0.5 + 0.0711*0.5))^4.5 )) + ($B$67/(((E$100 + $A102*0.055 + 0.02)*0.5 + 0.0711*0.5)-$E$40))/(1+((E$100 + $A102*0.055 + 0.02)*0.5 + 0.0711*0.5))^5.0 - $B$74)/$B$76</f>
        <v/>
      </c>
      <c r="F102" s="32">
        <f>((E$63*( (1+$E$39)^0.5 / (1+((F$100 + $A102*0.055 + 0.02)*0.5 + 0.0711*0.5))^0.5 ) + F$63*( (1+$E$39)^1.5 / (1+((F$100 + $A102*0.055 + 0.02)*0.5 + 0.0711*0.5))^1.5 ) + G$63*( (1+$E$39)^2.5 / (1+((F$100 + $A102*0.055 + 0.02)*0.5 + 0.0711*0.5))^2.5 ) + H$63*( (1+$E$39)^3.5 / (1+((F$100 + $A102*0.055 + 0.02)*0.5 + 0.0711*0.5))^3.5 ) + I$63*( (1+$E$39)^4.5 / (1+((F$100 + $A102*0.055 + 0.02)*0.5 + 0.0711*0.5))^4.5 )) + ($B$67/(((F$100 + $A102*0.055 + 0.02)*0.5 + 0.0711*0.5)-$E$40))/(1+((F$100 + $A102*0.055 + 0.02)*0.5 + 0.0711*0.5))^5.0 - $B$74)/$B$76</f>
        <v/>
      </c>
      <c r="G102" s="32">
        <f>((E$63*( (1+$E$39)^0.5 / (1+((G$100 + $A102*0.055 + 0.02)*0.5 + 0.0711*0.5))^0.5 ) + F$63*( (1+$E$39)^1.5 / (1+((G$100 + $A102*0.055 + 0.02)*0.5 + 0.0711*0.5))^1.5 ) + G$63*( (1+$E$39)^2.5 / (1+((G$100 + $A102*0.055 + 0.02)*0.5 + 0.0711*0.5))^2.5 ) + H$63*( (1+$E$39)^3.5 / (1+((G$100 + $A102*0.055 + 0.02)*0.5 + 0.0711*0.5))^3.5 ) + I$63*( (1+$E$39)^4.5 / (1+((G$100 + $A102*0.055 + 0.02)*0.5 + 0.0711*0.5))^4.5 )) + ($B$67/(((G$100 + $A102*0.055 + 0.02)*0.5 + 0.0711*0.5)-$E$40))/(1+((G$100 + $A102*0.055 + 0.02)*0.5 + 0.0711*0.5))^5.0 - $B$74)/$B$76</f>
        <v/>
      </c>
    </row>
    <row r="103">
      <c r="A103" s="36" t="n">
        <v>1.2</v>
      </c>
      <c r="C103" s="32">
        <f>((E$63*( (1+$E$39)^0.5 / (1+((C$100 + $A103*0.055 + 0.02)*0.5 + 0.0711*0.5))^0.5 ) + F$63*( (1+$E$39)^1.5 / (1+((C$100 + $A103*0.055 + 0.02)*0.5 + 0.0711*0.5))^1.5 ) + G$63*( (1+$E$39)^2.5 / (1+((C$100 + $A103*0.055 + 0.02)*0.5 + 0.0711*0.5))^2.5 ) + H$63*( (1+$E$39)^3.5 / (1+((C$100 + $A103*0.055 + 0.02)*0.5 + 0.0711*0.5))^3.5 ) + I$63*( (1+$E$39)^4.5 / (1+((C$100 + $A103*0.055 + 0.02)*0.5 + 0.0711*0.5))^4.5 )) + ($B$67/(((C$100 + $A103*0.055 + 0.02)*0.5 + 0.0711*0.5)-$E$40))/(1+((C$100 + $A103*0.055 + 0.02)*0.5 + 0.0711*0.5))^5.0 - $B$74)/$B$76</f>
        <v/>
      </c>
      <c r="D103" s="32">
        <f>((E$63*( (1+$E$39)^0.5 / (1+((D$100 + $A103*0.055 + 0.02)*0.5 + 0.0711*0.5))^0.5 ) + F$63*( (1+$E$39)^1.5 / (1+((D$100 + $A103*0.055 + 0.02)*0.5 + 0.0711*0.5))^1.5 ) + G$63*( (1+$E$39)^2.5 / (1+((D$100 + $A103*0.055 + 0.02)*0.5 + 0.0711*0.5))^2.5 ) + H$63*( (1+$E$39)^3.5 / (1+((D$100 + $A103*0.055 + 0.02)*0.5 + 0.0711*0.5))^3.5 ) + I$63*( (1+$E$39)^4.5 / (1+((D$100 + $A103*0.055 + 0.02)*0.5 + 0.0711*0.5))^4.5 )) + ($B$67/(((D$100 + $A103*0.055 + 0.02)*0.5 + 0.0711*0.5)-$E$40))/(1+((D$100 + $A103*0.055 + 0.02)*0.5 + 0.0711*0.5))^5.0 - $B$74)/$B$76</f>
        <v/>
      </c>
      <c r="E103" s="33">
        <f>((E$63*( (1+$E$39)^0.5 / (1+((E$100 + $A103*0.055 + 0.02)*0.5 + 0.0711*0.5))^0.5 ) + F$63*( (1+$E$39)^1.5 / (1+((E$100 + $A103*0.055 + 0.02)*0.5 + 0.0711*0.5))^1.5 ) + G$63*( (1+$E$39)^2.5 / (1+((E$100 + $A103*0.055 + 0.02)*0.5 + 0.0711*0.5))^2.5 ) + H$63*( (1+$E$39)^3.5 / (1+((E$100 + $A103*0.055 + 0.02)*0.5 + 0.0711*0.5))^3.5 ) + I$63*( (1+$E$39)^4.5 / (1+((E$100 + $A103*0.055 + 0.02)*0.5 + 0.0711*0.5))^4.5 )) + ($B$67/(((E$100 + $A103*0.055 + 0.02)*0.5 + 0.0711*0.5)-$E$40))/(1+((E$100 + $A103*0.055 + 0.02)*0.5 + 0.0711*0.5))^5.0 - $B$74)/$B$76</f>
        <v/>
      </c>
      <c r="F103" s="32">
        <f>((E$63*( (1+$E$39)^0.5 / (1+((F$100 + $A103*0.055 + 0.02)*0.5 + 0.0711*0.5))^0.5 ) + F$63*( (1+$E$39)^1.5 / (1+((F$100 + $A103*0.055 + 0.02)*0.5 + 0.0711*0.5))^1.5 ) + G$63*( (1+$E$39)^2.5 / (1+((F$100 + $A103*0.055 + 0.02)*0.5 + 0.0711*0.5))^2.5 ) + H$63*( (1+$E$39)^3.5 / (1+((F$100 + $A103*0.055 + 0.02)*0.5 + 0.0711*0.5))^3.5 ) + I$63*( (1+$E$39)^4.5 / (1+((F$100 + $A103*0.055 + 0.02)*0.5 + 0.0711*0.5))^4.5 )) + ($B$67/(((F$100 + $A103*0.055 + 0.02)*0.5 + 0.0711*0.5)-$E$40))/(1+((F$100 + $A103*0.055 + 0.02)*0.5 + 0.0711*0.5))^5.0 - $B$74)/$B$76</f>
        <v/>
      </c>
      <c r="G103" s="32">
        <f>((E$63*( (1+$E$39)^0.5 / (1+((G$100 + $A103*0.055 + 0.02)*0.5 + 0.0711*0.5))^0.5 ) + F$63*( (1+$E$39)^1.5 / (1+((G$100 + $A103*0.055 + 0.02)*0.5 + 0.0711*0.5))^1.5 ) + G$63*( (1+$E$39)^2.5 / (1+((G$100 + $A103*0.055 + 0.02)*0.5 + 0.0711*0.5))^2.5 ) + H$63*( (1+$E$39)^3.5 / (1+((G$100 + $A103*0.055 + 0.02)*0.5 + 0.0711*0.5))^3.5 ) + I$63*( (1+$E$39)^4.5 / (1+((G$100 + $A103*0.055 + 0.02)*0.5 + 0.0711*0.5))^4.5 )) + ($B$67/(((G$100 + $A103*0.055 + 0.02)*0.5 + 0.0711*0.5)-$E$40))/(1+((G$100 + $A103*0.055 + 0.02)*0.5 + 0.0711*0.5))^5.0 - $B$74)/$B$76</f>
        <v/>
      </c>
    </row>
    <row r="104">
      <c r="A104" s="36" t="n">
        <v>1.3</v>
      </c>
      <c r="C104" s="32">
        <f>((E$63*( (1+$E$39)^0.5 / (1+((C$100 + $A104*0.055 + 0.02)*0.5 + 0.0711*0.5))^0.5 ) + F$63*( (1+$E$39)^1.5 / (1+((C$100 + $A104*0.055 + 0.02)*0.5 + 0.0711*0.5))^1.5 ) + G$63*( (1+$E$39)^2.5 / (1+((C$100 + $A104*0.055 + 0.02)*0.5 + 0.0711*0.5))^2.5 ) + H$63*( (1+$E$39)^3.5 / (1+((C$100 + $A104*0.055 + 0.02)*0.5 + 0.0711*0.5))^3.5 ) + I$63*( (1+$E$39)^4.5 / (1+((C$100 + $A104*0.055 + 0.02)*0.5 + 0.0711*0.5))^4.5 )) + ($B$67/(((C$100 + $A104*0.055 + 0.02)*0.5 + 0.0711*0.5)-$E$40))/(1+((C$100 + $A104*0.055 + 0.02)*0.5 + 0.0711*0.5))^5.0 - $B$74)/$B$76</f>
        <v/>
      </c>
      <c r="D104" s="32">
        <f>((E$63*( (1+$E$39)^0.5 / (1+((D$100 + $A104*0.055 + 0.02)*0.5 + 0.0711*0.5))^0.5 ) + F$63*( (1+$E$39)^1.5 / (1+((D$100 + $A104*0.055 + 0.02)*0.5 + 0.0711*0.5))^1.5 ) + G$63*( (1+$E$39)^2.5 / (1+((D$100 + $A104*0.055 + 0.02)*0.5 + 0.0711*0.5))^2.5 ) + H$63*( (1+$E$39)^3.5 / (1+((D$100 + $A104*0.055 + 0.02)*0.5 + 0.0711*0.5))^3.5 ) + I$63*( (1+$E$39)^4.5 / (1+((D$100 + $A104*0.055 + 0.02)*0.5 + 0.0711*0.5))^4.5 )) + ($B$67/(((D$100 + $A104*0.055 + 0.02)*0.5 + 0.0711*0.5)-$E$40))/(1+((D$100 + $A104*0.055 + 0.02)*0.5 + 0.0711*0.5))^5.0 - $B$74)/$B$76</f>
        <v/>
      </c>
      <c r="E104" s="32">
        <f>((E$63*( (1+$E$39)^0.5 / (1+((E$100 + $A104*0.055 + 0.02)*0.5 + 0.0711*0.5))^0.5 ) + F$63*( (1+$E$39)^1.5 / (1+((E$100 + $A104*0.055 + 0.02)*0.5 + 0.0711*0.5))^1.5 ) + G$63*( (1+$E$39)^2.5 / (1+((E$100 + $A104*0.055 + 0.02)*0.5 + 0.0711*0.5))^2.5 ) + H$63*( (1+$E$39)^3.5 / (1+((E$100 + $A104*0.055 + 0.02)*0.5 + 0.0711*0.5))^3.5 ) + I$63*( (1+$E$39)^4.5 / (1+((E$100 + $A104*0.055 + 0.02)*0.5 + 0.0711*0.5))^4.5 )) + ($B$67/(((E$100 + $A104*0.055 + 0.02)*0.5 + 0.0711*0.5)-$E$40))/(1+((E$100 + $A104*0.055 + 0.02)*0.5 + 0.0711*0.5))^5.0 - $B$74)/$B$76</f>
        <v/>
      </c>
      <c r="F104" s="32">
        <f>((E$63*( (1+$E$39)^0.5 / (1+((F$100 + $A104*0.055 + 0.02)*0.5 + 0.0711*0.5))^0.5 ) + F$63*( (1+$E$39)^1.5 / (1+((F$100 + $A104*0.055 + 0.02)*0.5 + 0.0711*0.5))^1.5 ) + G$63*( (1+$E$39)^2.5 / (1+((F$100 + $A104*0.055 + 0.02)*0.5 + 0.0711*0.5))^2.5 ) + H$63*( (1+$E$39)^3.5 / (1+((F$100 + $A104*0.055 + 0.02)*0.5 + 0.0711*0.5))^3.5 ) + I$63*( (1+$E$39)^4.5 / (1+((F$100 + $A104*0.055 + 0.02)*0.5 + 0.0711*0.5))^4.5 )) + ($B$67/(((F$100 + $A104*0.055 + 0.02)*0.5 + 0.0711*0.5)-$E$40))/(1+((F$100 + $A104*0.055 + 0.02)*0.5 + 0.0711*0.5))^5.0 - $B$74)/$B$76</f>
        <v/>
      </c>
      <c r="G104" s="32">
        <f>((E$63*( (1+$E$39)^0.5 / (1+((G$100 + $A104*0.055 + 0.02)*0.5 + 0.0711*0.5))^0.5 ) + F$63*( (1+$E$39)^1.5 / (1+((G$100 + $A104*0.055 + 0.02)*0.5 + 0.0711*0.5))^1.5 ) + G$63*( (1+$E$39)^2.5 / (1+((G$100 + $A104*0.055 + 0.02)*0.5 + 0.0711*0.5))^2.5 ) + H$63*( (1+$E$39)^3.5 / (1+((G$100 + $A104*0.055 + 0.02)*0.5 + 0.0711*0.5))^3.5 ) + I$63*( (1+$E$39)^4.5 / (1+((G$100 + $A104*0.055 + 0.02)*0.5 + 0.0711*0.5))^4.5 )) + ($B$67/(((G$100 + $A104*0.055 + 0.02)*0.5 + 0.0711*0.5)-$E$40))/(1+((G$100 + $A104*0.055 + 0.02)*0.5 + 0.0711*0.5))^5.0 - $B$74)/$B$76</f>
        <v/>
      </c>
    </row>
    <row r="105">
      <c r="A105" s="36" t="n">
        <v>1.4</v>
      </c>
      <c r="C105" s="32">
        <f>((E$63*( (1+$E$39)^0.5 / (1+((C$100 + $A105*0.055 + 0.02)*0.5 + 0.0711*0.5))^0.5 ) + F$63*( (1+$E$39)^1.5 / (1+((C$100 + $A105*0.055 + 0.02)*0.5 + 0.0711*0.5))^1.5 ) + G$63*( (1+$E$39)^2.5 / (1+((C$100 + $A105*0.055 + 0.02)*0.5 + 0.0711*0.5))^2.5 ) + H$63*( (1+$E$39)^3.5 / (1+((C$100 + $A105*0.055 + 0.02)*0.5 + 0.0711*0.5))^3.5 ) + I$63*( (1+$E$39)^4.5 / (1+((C$100 + $A105*0.055 + 0.02)*0.5 + 0.0711*0.5))^4.5 )) + ($B$67/(((C$100 + $A105*0.055 + 0.02)*0.5 + 0.0711*0.5)-$E$40))/(1+((C$100 + $A105*0.055 + 0.02)*0.5 + 0.0711*0.5))^5.0 - $B$74)/$B$76</f>
        <v/>
      </c>
      <c r="D105" s="32">
        <f>((E$63*( (1+$E$39)^0.5 / (1+((D$100 + $A105*0.055 + 0.02)*0.5 + 0.0711*0.5))^0.5 ) + F$63*( (1+$E$39)^1.5 / (1+((D$100 + $A105*0.055 + 0.02)*0.5 + 0.0711*0.5))^1.5 ) + G$63*( (1+$E$39)^2.5 / (1+((D$100 + $A105*0.055 + 0.02)*0.5 + 0.0711*0.5))^2.5 ) + H$63*( (1+$E$39)^3.5 / (1+((D$100 + $A105*0.055 + 0.02)*0.5 + 0.0711*0.5))^3.5 ) + I$63*( (1+$E$39)^4.5 / (1+((D$100 + $A105*0.055 + 0.02)*0.5 + 0.0711*0.5))^4.5 )) + ($B$67/(((D$100 + $A105*0.055 + 0.02)*0.5 + 0.0711*0.5)-$E$40))/(1+((D$100 + $A105*0.055 + 0.02)*0.5 + 0.0711*0.5))^5.0 - $B$74)/$B$76</f>
        <v/>
      </c>
      <c r="E105" s="32">
        <f>((E$63*( (1+$E$39)^0.5 / (1+((E$100 + $A105*0.055 + 0.02)*0.5 + 0.0711*0.5))^0.5 ) + F$63*( (1+$E$39)^1.5 / (1+((E$100 + $A105*0.055 + 0.02)*0.5 + 0.0711*0.5))^1.5 ) + G$63*( (1+$E$39)^2.5 / (1+((E$100 + $A105*0.055 + 0.02)*0.5 + 0.0711*0.5))^2.5 ) + H$63*( (1+$E$39)^3.5 / (1+((E$100 + $A105*0.055 + 0.02)*0.5 + 0.0711*0.5))^3.5 ) + I$63*( (1+$E$39)^4.5 / (1+((E$100 + $A105*0.055 + 0.02)*0.5 + 0.0711*0.5))^4.5 )) + ($B$67/(((E$100 + $A105*0.055 + 0.02)*0.5 + 0.0711*0.5)-$E$40))/(1+((E$100 + $A105*0.055 + 0.02)*0.5 + 0.0711*0.5))^5.0 - $B$74)/$B$76</f>
        <v/>
      </c>
      <c r="F105" s="32">
        <f>((E$63*( (1+$E$39)^0.5 / (1+((F$100 + $A105*0.055 + 0.02)*0.5 + 0.0711*0.5))^0.5 ) + F$63*( (1+$E$39)^1.5 / (1+((F$100 + $A105*0.055 + 0.02)*0.5 + 0.0711*0.5))^1.5 ) + G$63*( (1+$E$39)^2.5 / (1+((F$100 + $A105*0.055 + 0.02)*0.5 + 0.0711*0.5))^2.5 ) + H$63*( (1+$E$39)^3.5 / (1+((F$100 + $A105*0.055 + 0.02)*0.5 + 0.0711*0.5))^3.5 ) + I$63*( (1+$E$39)^4.5 / (1+((F$100 + $A105*0.055 + 0.02)*0.5 + 0.0711*0.5))^4.5 )) + ($B$67/(((F$100 + $A105*0.055 + 0.02)*0.5 + 0.0711*0.5)-$E$40))/(1+((F$100 + $A105*0.055 + 0.02)*0.5 + 0.0711*0.5))^5.0 - $B$74)/$B$76</f>
        <v/>
      </c>
      <c r="G105" s="32">
        <f>((E$63*( (1+$E$39)^0.5 / (1+((G$100 + $A105*0.055 + 0.02)*0.5 + 0.0711*0.5))^0.5 ) + F$63*( (1+$E$39)^1.5 / (1+((G$100 + $A105*0.055 + 0.02)*0.5 + 0.0711*0.5))^1.5 ) + G$63*( (1+$E$39)^2.5 / (1+((G$100 + $A105*0.055 + 0.02)*0.5 + 0.0711*0.5))^2.5 ) + H$63*( (1+$E$39)^3.5 / (1+((G$100 + $A105*0.055 + 0.02)*0.5 + 0.0711*0.5))^3.5 ) + I$63*( (1+$E$39)^4.5 / (1+((G$100 + $A105*0.055 + 0.02)*0.5 + 0.0711*0.5))^4.5 )) + ($B$67/(((G$100 + $A105*0.055 + 0.02)*0.5 + 0.0711*0.5)-$E$40))/(1+((G$100 + $A105*0.055 + 0.02)*0.5 + 0.0711*0.5))^5.0 - $B$74)/$B$76</f>
        <v/>
      </c>
    </row>
  </sheetData>
  <mergeCells count="13">
    <mergeCell ref="A99:J99"/>
    <mergeCell ref="A45:J45"/>
    <mergeCell ref="A8:J8"/>
    <mergeCell ref="A17:J17"/>
    <mergeCell ref="A29:J29"/>
    <mergeCell ref="A4:J4"/>
    <mergeCell ref="A35:J35"/>
    <mergeCell ref="A65:J65"/>
    <mergeCell ref="A24:J24"/>
    <mergeCell ref="A81:J81"/>
    <mergeCell ref="A60:J60"/>
    <mergeCell ref="A90:J90"/>
    <mergeCell ref="A19:J1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8" customWidth="1" min="3" max="3"/>
    <col width="14" customWidth="1" min="4" max="4"/>
    <col width="14" customWidth="1" min="5" max="5"/>
  </cols>
  <sheetData>
    <row r="1">
      <c r="A1" s="1" t="inlineStr">
        <is>
          <t>Maison Solutions Inc. (NASDAQ: MSS) - WACC Schedule</t>
        </is>
      </c>
    </row>
    <row r="2"/>
    <row r="3">
      <c r="A3" s="3" t="inlineStr">
        <is>
          <t>CAPITAL ASSET PRICING MODEL (CAPM) &amp; WACC BUILD</t>
        </is>
      </c>
    </row>
    <row r="4">
      <c r="A4" s="7" t="inlineStr">
        <is>
          <t>Risk-Free Rate (Rf)</t>
        </is>
      </c>
      <c r="B4" s="37" t="n">
        <v>0.047</v>
      </c>
      <c r="C4" s="38" t="inlineStr">
        <is>
          <t>US 10-Year Treasury Yield (August 2026)</t>
        </is>
      </c>
    </row>
    <row r="5">
      <c r="A5" s="7" t="inlineStr">
        <is>
          <t>Equity Beta (β)</t>
        </is>
      </c>
      <c r="B5" s="39" t="n">
        <v>1.2</v>
      </c>
      <c r="C5" s="38" t="inlineStr">
        <is>
          <t>Small-cap grocery / specialty retail adjusted beta</t>
        </is>
      </c>
    </row>
    <row r="6">
      <c r="A6" s="7" t="inlineStr">
        <is>
          <t>Equity Risk Premium (ERP)</t>
        </is>
      </c>
      <c r="B6" s="37" t="n">
        <v>0.055</v>
      </c>
      <c r="C6" s="38" t="inlineStr">
        <is>
          <t>Standard institutional market risk premium (5.5%)</t>
        </is>
      </c>
    </row>
    <row r="7">
      <c r="A7" s="7" t="inlineStr">
        <is>
          <t>Small-Cap Size Premium</t>
        </is>
      </c>
      <c r="B7" s="37" t="n">
        <v>0.02</v>
      </c>
      <c r="C7" s="38" t="inlineStr">
        <is>
          <t>Micro-cap liquidity and scale risk premium</t>
        </is>
      </c>
    </row>
    <row r="8">
      <c r="A8" s="4" t="inlineStr">
        <is>
          <t>Cost of Equity (Ke = Rf + β*ERP + Size)</t>
        </is>
      </c>
      <c r="B8" s="40">
        <f>B4+B5*B6+B7</f>
        <v/>
      </c>
      <c r="C8" s="38" t="inlineStr">
        <is>
          <t>CAPM Cost of Equity</t>
        </is>
      </c>
    </row>
    <row r="9"/>
    <row r="10">
      <c r="A10" s="7" t="inlineStr">
        <is>
          <t>Pre-Tax Cost of Debt (Kd)</t>
        </is>
      </c>
      <c r="B10" s="37" t="n">
        <v>0.09</v>
      </c>
      <c r="C10" s="38" t="inlineStr">
        <is>
          <t>Micro-cap borrowing and debt interest rate</t>
        </is>
      </c>
    </row>
    <row r="11">
      <c r="A11" s="7" t="inlineStr">
        <is>
          <t>Effective Corporate Tax Rate (t)</t>
        </is>
      </c>
      <c r="B11" s="37">
        <f>DCF!$B$15</f>
        <v/>
      </c>
      <c r="C11" s="38" t="inlineStr">
        <is>
          <t>Statutory tax rate</t>
        </is>
      </c>
    </row>
    <row r="12">
      <c r="A12" s="4" t="inlineStr">
        <is>
          <t>After-Tax Cost of Debt (Kd * (1 - t))</t>
        </is>
      </c>
      <c r="B12" s="40">
        <f>B10*(1-B11)</f>
        <v/>
      </c>
      <c r="C12" s="38" t="inlineStr">
        <is>
          <t>After-tax borrowing cost</t>
        </is>
      </c>
    </row>
    <row r="13"/>
    <row r="14">
      <c r="A14" s="7" t="inlineStr">
        <is>
          <t>Target Equity Weight (We)</t>
        </is>
      </c>
      <c r="B14" s="37" t="n">
        <v>0.5</v>
      </c>
      <c r="C14" s="38" t="inlineStr">
        <is>
          <t>Normalized target capital structure</t>
        </is>
      </c>
    </row>
    <row r="15">
      <c r="A15" s="7" t="inlineStr">
        <is>
          <t>Target Debt Weight (Wd)</t>
        </is>
      </c>
      <c r="B15" s="37" t="n">
        <v>0.5</v>
      </c>
      <c r="C15" s="38" t="inlineStr">
        <is>
          <t>Normalized target capital structure</t>
        </is>
      </c>
    </row>
    <row r="16">
      <c r="A16" s="6" t="inlineStr">
        <is>
          <t>Weighted Average Cost of Capital (WACC)</t>
        </is>
      </c>
      <c r="B16" s="41">
        <f>B8*B14+B12*B15</f>
        <v/>
      </c>
      <c r="C16" s="38" t="inlineStr">
        <is>
          <t>Calculated Base WACC (10.20% normalized)</t>
        </is>
      </c>
    </row>
  </sheetData>
  <mergeCells count="1"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Maison Solutions Inc. (NASDAQ: MSS) - Executive Sensitivity Analysis</t>
        </is>
      </c>
    </row>
    <row r="2"/>
    <row r="3">
      <c r="A3" s="3" t="inlineStr">
        <is>
          <t>TABLE 1: WACC VS. TERMINAL GROWTH RATE (Implied Share Price $)</t>
        </is>
      </c>
    </row>
    <row r="4">
      <c r="A4" s="6" t="inlineStr">
        <is>
          <t>WACC \ g</t>
        </is>
      </c>
      <c r="B4" s="31" t="n">
        <v>0.015</v>
      </c>
      <c r="C4" s="31" t="n">
        <v>0.02</v>
      </c>
      <c r="D4" s="31" t="n">
        <v>0.025</v>
      </c>
      <c r="E4" s="31" t="n">
        <v>0.03</v>
      </c>
      <c r="F4" s="31" t="n">
        <v>0.035</v>
      </c>
    </row>
    <row r="5">
      <c r="A5" s="31" t="n">
        <v>0.09</v>
      </c>
      <c r="B5" s="42">
        <f>DCF!C83</f>
        <v/>
      </c>
      <c r="C5" s="42">
        <f>DCF!D83</f>
        <v/>
      </c>
      <c r="D5" s="42">
        <f>DCF!E83</f>
        <v/>
      </c>
      <c r="E5" s="42">
        <f>DCF!F83</f>
        <v/>
      </c>
      <c r="F5" s="42">
        <f>DCF!G83</f>
        <v/>
      </c>
    </row>
    <row r="6">
      <c r="A6" s="31" t="n">
        <v>0.095</v>
      </c>
      <c r="B6" s="42">
        <f>DCF!C84</f>
        <v/>
      </c>
      <c r="C6" s="42">
        <f>DCF!D84</f>
        <v/>
      </c>
      <c r="D6" s="42">
        <f>DCF!E84</f>
        <v/>
      </c>
      <c r="E6" s="42">
        <f>DCF!F84</f>
        <v/>
      </c>
      <c r="F6" s="42">
        <f>DCF!G84</f>
        <v/>
      </c>
    </row>
    <row r="7">
      <c r="A7" s="31" t="n">
        <v>0.1</v>
      </c>
      <c r="B7" s="42">
        <f>DCF!C85</f>
        <v/>
      </c>
      <c r="C7" s="42">
        <f>DCF!D85</f>
        <v/>
      </c>
      <c r="D7" s="33">
        <f>DCF!E85</f>
        <v/>
      </c>
      <c r="E7" s="42">
        <f>DCF!F85</f>
        <v/>
      </c>
      <c r="F7" s="42">
        <f>DCF!G85</f>
        <v/>
      </c>
    </row>
    <row r="8">
      <c r="A8" s="31" t="n">
        <v>0.105</v>
      </c>
      <c r="B8" s="42">
        <f>DCF!C86</f>
        <v/>
      </c>
      <c r="C8" s="42">
        <f>DCF!D86</f>
        <v/>
      </c>
      <c r="D8" s="42">
        <f>DCF!E86</f>
        <v/>
      </c>
      <c r="E8" s="42">
        <f>DCF!F86</f>
        <v/>
      </c>
      <c r="F8" s="42">
        <f>DCF!G86</f>
        <v/>
      </c>
    </row>
    <row r="9">
      <c r="A9" s="31" t="n">
        <v>0.11</v>
      </c>
      <c r="B9" s="42">
        <f>DCF!C87</f>
        <v/>
      </c>
      <c r="C9" s="42">
        <f>DCF!D87</f>
        <v/>
      </c>
      <c r="D9" s="42">
        <f>DCF!E87</f>
        <v/>
      </c>
      <c r="E9" s="42">
        <f>DCF!F87</f>
        <v/>
      </c>
      <c r="F9" s="42">
        <f>DCF!G87</f>
        <v/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2026-08-19T08:49:44Z</dcterms:created>
  <dcterms:modified xmlns:dcterms="http://purl.org/dc/terms/" xmlns:xsi="http://www.w3.org/2001/XMLSchema-instance" xsi:type="dcterms:W3CDTF">2026-08-19T08:49:44Z</dcterms:modified>
</cp:coreProperties>
</file>