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.00"/>
    <numFmt numFmtId="165" formatCode="#,##0.0"/>
    <numFmt numFmtId="166" formatCode="$#,##0"/>
    <numFmt numFmtId="167" formatCode="$#,##0;($#,##0);&quot;-&quot;"/>
    <numFmt numFmtId="168" formatCode="0.0%"/>
    <numFmt numFmtId="169" formatCode="0.0"/>
    <numFmt numFmtId="170" formatCode="0.0000"/>
    <numFmt numFmtId="171" formatCode="+0.0%;-0.0%;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color rgb="00008000"/>
      <sz val="10"/>
    </font>
    <font>
      <name val="Calibri"/>
      <b val="1"/>
      <color rgb="00000000"/>
      <sz val="11"/>
    </font>
    <font>
      <name val="Calibri"/>
      <b val="1"/>
      <color rgb="000000FF"/>
      <sz val="10"/>
    </font>
    <font>
      <name val="Calibri"/>
      <b val="1"/>
      <color rgb="00000000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</fills>
  <borders count="1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F4E79"/>
      </left>
      <right/>
      <top style="medium">
        <color rgb="001F4E79"/>
      </top>
      <bottom/>
    </border>
    <border>
      <left/>
      <right/>
      <top style="medium">
        <color rgb="001F4E79"/>
      </top>
      <bottom/>
    </border>
    <border>
      <left/>
      <right style="medium">
        <color rgb="001F4E79"/>
      </right>
      <top style="medium">
        <color rgb="001F4E79"/>
      </top>
      <bottom/>
    </border>
    <border>
      <left style="medium">
        <color rgb="001F4E79"/>
      </left>
      <right/>
      <top/>
      <bottom style="medium">
        <color rgb="001F4E79"/>
      </bottom>
    </border>
    <border>
      <left/>
      <right/>
      <top/>
      <bottom style="medium">
        <color rgb="001F4E79"/>
      </bottom>
    </border>
    <border>
      <left/>
      <right style="medium">
        <color rgb="001F4E79"/>
      </right>
      <top/>
      <bottom style="medium">
        <color rgb="001F4E79"/>
      </bottom>
    </border>
    <border>
      <left style="medium">
        <color rgb="001F4E79"/>
      </left>
      <right/>
      <top/>
      <bottom/>
    </border>
    <border>
      <left/>
      <right/>
      <top/>
      <bottom/>
    </border>
    <border>
      <left/>
      <right style="medium">
        <color rgb="001F4E79"/>
      </right>
      <top/>
      <bottom/>
    </border>
    <border>
      <left style="thin">
        <color rgb="00D9D9D9"/>
      </left>
      <right style="medium">
        <color rgb="001F4E7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medium">
        <color rgb="001F4E79"/>
      </right>
      <top style="thin">
        <color rgb="00D9D9D9"/>
      </top>
      <bottom style="medium">
        <color rgb="001F4E79"/>
      </bottom>
    </border>
    <border>
      <left style="medium">
        <color rgb="001F4E7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  <border>
      <left style="medium">
        <color rgb="001F4E79"/>
      </left>
      <right style="medium">
        <color rgb="001F4E7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4" fillId="0" borderId="0" pivotButton="0" quotePrefix="0" xfId="0"/>
    <xf numFmtId="164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6" fontId="2" fillId="5" borderId="0" applyAlignment="1" pivotButton="0" quotePrefix="0" xfId="0">
      <alignment horizontal="right" vertical="center"/>
    </xf>
    <xf numFmtId="166" fontId="5" fillId="4" borderId="0" applyAlignment="1" pivotButton="0" quotePrefix="0" xfId="0">
      <alignment horizontal="right" vertical="center"/>
    </xf>
    <xf numFmtId="167" fontId="2" fillId="6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168" fontId="5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168" fontId="6" fillId="6" borderId="0" applyAlignment="1" pivotButton="0" quotePrefix="0" xfId="0">
      <alignment horizontal="right" vertical="center"/>
    </xf>
    <xf numFmtId="168" fontId="2" fillId="3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68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167" fontId="2" fillId="5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7" fontId="2" fillId="0" borderId="0" applyAlignment="1" pivotButton="0" quotePrefix="0" xfId="0">
      <alignment horizontal="right" vertical="center"/>
    </xf>
    <xf numFmtId="167" fontId="5" fillId="4" borderId="0" applyAlignment="1" pivotButton="0" quotePrefix="0" xfId="0">
      <alignment horizontal="right" vertical="center"/>
    </xf>
    <xf numFmtId="167" fontId="7" fillId="6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7" fillId="0" borderId="0" pivotButton="0" quotePrefix="0" xfId="0"/>
    <xf numFmtId="166" fontId="7" fillId="5" borderId="0" applyAlignment="1" pivotButton="0" quotePrefix="0" xfId="0">
      <alignment horizontal="right" vertical="center"/>
    </xf>
    <xf numFmtId="166" fontId="4" fillId="6" borderId="0" applyAlignment="1" pivotButton="0" quotePrefix="0" xfId="0">
      <alignment horizontal="right" vertical="center"/>
    </xf>
    <xf numFmtId="167" fontId="4" fillId="6" borderId="0" applyAlignment="1" pivotButton="0" quotePrefix="0" xfId="0">
      <alignment horizontal="right" vertical="center"/>
    </xf>
    <xf numFmtId="165" fontId="4" fillId="6" borderId="0" applyAlignment="1" pivotButton="0" quotePrefix="0" xfId="0">
      <alignment horizontal="right" vertical="center"/>
    </xf>
    <xf numFmtId="0" fontId="9" fillId="0" borderId="0" pivotButton="0" quotePrefix="0" xfId="0"/>
    <xf numFmtId="164" fontId="9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71" fontId="7" fillId="6" borderId="0" applyAlignment="1" pivotButton="0" quotePrefix="0" xfId="0">
      <alignment horizontal="right" vertical="center"/>
    </xf>
    <xf numFmtId="168" fontId="4" fillId="6" borderId="0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0" fontId="2" fillId="3" borderId="0" applyAlignment="1" pivotButton="0" quotePrefix="0" xfId="0">
      <alignment horizontal="right" vertical="center"/>
    </xf>
    <xf numFmtId="2" fontId="2" fillId="3" borderId="0" applyAlignment="1" pivotButton="0" quotePrefix="0" xfId="0">
      <alignment horizontal="right" vertical="center"/>
    </xf>
    <xf numFmtId="10" fontId="5" fillId="4" borderId="0" applyAlignment="1" pivotButton="0" quotePrefix="0" xfId="0">
      <alignment horizontal="right" vertical="center"/>
    </xf>
    <xf numFmtId="2" fontId="5" fillId="4" borderId="0" applyAlignment="1" pivotButton="0" quotePrefix="0" xfId="0">
      <alignment horizontal="right" vertical="center"/>
    </xf>
    <xf numFmtId="10" fontId="2" fillId="5" borderId="0" applyAlignment="1" pivotButton="0" quotePrefix="0" xfId="0">
      <alignment horizontal="right" vertical="center"/>
    </xf>
    <xf numFmtId="10" fontId="6" fillId="6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4" fillId="0" borderId="1" pivotButton="0" quotePrefix="0" xfId="0"/>
    <xf numFmtId="166" fontId="6" fillId="0" borderId="1" pivotButton="0" quotePrefix="0" xfId="0"/>
    <xf numFmtId="168" fontId="4" fillId="0" borderId="1" pivotButton="0" quotePrefix="0" xfId="0"/>
    <xf numFmtId="10" fontId="4" fillId="0" borderId="1" pivotButton="0" quotePrefix="0" xfId="0"/>
    <xf numFmtId="0" fontId="2" fillId="0" borderId="1" pivotButton="0" quotePrefix="0" xfId="0"/>
    <xf numFmtId="166" fontId="2" fillId="0" borderId="1" pivotButton="0" quotePrefix="0" xfId="0"/>
    <xf numFmtId="168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10" fontId="2" fillId="5" borderId="1" pivotButton="0" quotePrefix="0" xfId="0"/>
    <xf numFmtId="10" fontId="7" fillId="5" borderId="0" applyAlignment="1" pivotButton="0" quotePrefix="0" xfId="0">
      <alignment horizontal="right" vertical="center"/>
    </xf>
    <xf numFmtId="0" fontId="3" fillId="2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5" pivotButton="0" quotePrefix="0" xfId="0"/>
    <xf numFmtId="0" fontId="8" fillId="4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right" vertical="center"/>
    </xf>
    <xf numFmtId="0" fontId="2" fillId="5" borderId="7" applyAlignment="1" pivotButton="0" quotePrefix="0" xfId="0">
      <alignment horizontal="center" vertical="center"/>
    </xf>
    <xf numFmtId="0" fontId="4" fillId="0" borderId="8" pivotButton="0" quotePrefix="0" xfId="0"/>
    <xf numFmtId="0" fontId="0" fillId="0" borderId="9" pivotButton="0" quotePrefix="0" xfId="0"/>
    <xf numFmtId="164" fontId="5" fillId="4" borderId="9" applyAlignment="1" pivotButton="0" quotePrefix="0" xfId="0">
      <alignment horizontal="right" vertical="center"/>
    </xf>
    <xf numFmtId="0" fontId="0" fillId="0" borderId="10" pivotButton="0" quotePrefix="0" xfId="0"/>
    <xf numFmtId="165" fontId="5" fillId="4" borderId="9" applyAlignment="1" pivotButton="0" quotePrefix="0" xfId="0">
      <alignment horizontal="right" vertical="center"/>
    </xf>
    <xf numFmtId="0" fontId="2" fillId="0" borderId="8" pivotButton="0" quotePrefix="0" xfId="0"/>
    <xf numFmtId="166" fontId="2" fillId="5" borderId="9" applyAlignment="1" pivotButton="0" quotePrefix="0" xfId="0">
      <alignment horizontal="right" vertical="center"/>
    </xf>
    <xf numFmtId="166" fontId="5" fillId="4" borderId="9" applyAlignment="1" pivotButton="0" quotePrefix="0" xfId="0">
      <alignment horizontal="right" vertical="center"/>
    </xf>
    <xf numFmtId="167" fontId="2" fillId="6" borderId="9" applyAlignment="1" pivotButton="0" quotePrefix="0" xfId="0">
      <alignment horizontal="right" vertical="center"/>
    </xf>
    <xf numFmtId="0" fontId="0" fillId="0" borderId="6" pivotButton="0" quotePrefix="0" xfId="0"/>
    <xf numFmtId="166" fontId="2" fillId="5" borderId="6" applyAlignment="1" pivotButton="0" quotePrefix="0" xfId="0">
      <alignment horizontal="right" vertical="center"/>
    </xf>
    <xf numFmtId="0" fontId="0" fillId="0" borderId="7" pivotButton="0" quotePrefix="0" xfId="0"/>
    <xf numFmtId="0" fontId="2" fillId="3" borderId="8" pivotButton="0" quotePrefix="0" xfId="0"/>
    <xf numFmtId="0" fontId="2" fillId="3" borderId="9" applyAlignment="1" pivotButton="0" quotePrefix="0" xfId="0">
      <alignment horizontal="right" vertical="center"/>
    </xf>
    <xf numFmtId="0" fontId="2" fillId="3" borderId="10" applyAlignment="1" pivotButton="0" quotePrefix="0" xfId="0">
      <alignment horizontal="right" vertical="center"/>
    </xf>
    <xf numFmtId="168" fontId="5" fillId="4" borderId="9" applyAlignment="1" pivotButton="0" quotePrefix="0" xfId="0">
      <alignment horizontal="right" vertical="center"/>
    </xf>
    <xf numFmtId="0" fontId="4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8" fontId="5" fillId="4" borderId="10" applyAlignment="1" pivotButton="0" quotePrefix="0" xfId="0">
      <alignment horizontal="right" vertical="center"/>
    </xf>
    <xf numFmtId="0" fontId="4" fillId="0" borderId="5" pivotButton="0" quotePrefix="0" xfId="0"/>
    <xf numFmtId="168" fontId="5" fillId="4" borderId="6" applyAlignment="1" pivotButton="0" quotePrefix="0" xfId="0">
      <alignment horizontal="right" vertical="center"/>
    </xf>
    <xf numFmtId="168" fontId="5" fillId="4" borderId="7" applyAlignment="1" pivotButton="0" quotePrefix="0" xfId="0">
      <alignment horizontal="right" vertical="center"/>
    </xf>
    <xf numFmtId="168" fontId="6" fillId="6" borderId="6" applyAlignment="1" pivotButton="0" quotePrefix="0" xfId="0">
      <alignment horizontal="right" vertical="center"/>
    </xf>
    <xf numFmtId="168" fontId="6" fillId="6" borderId="7" applyAlignment="1" pivotButton="0" quotePrefix="0" xfId="0">
      <alignment horizontal="right" vertical="center"/>
    </xf>
    <xf numFmtId="168" fontId="2" fillId="3" borderId="9" applyAlignment="1" pivotButton="0" quotePrefix="0" xfId="0">
      <alignment horizontal="right" vertical="center"/>
    </xf>
    <xf numFmtId="0" fontId="0" fillId="0" borderId="9" applyAlignment="1" pivotButton="0" quotePrefix="0" xfId="0">
      <alignment horizontal="center" vertical="center"/>
    </xf>
    <xf numFmtId="168" fontId="2" fillId="3" borderId="10" applyAlignment="1" pivotButton="0" quotePrefix="0" xfId="0">
      <alignment horizontal="right" vertical="center"/>
    </xf>
    <xf numFmtId="168" fontId="2" fillId="3" borderId="6" applyAlignment="1" pivotButton="0" quotePrefix="0" xfId="0">
      <alignment horizontal="right" vertical="center"/>
    </xf>
    <xf numFmtId="168" fontId="2" fillId="3" borderId="7" applyAlignment="1" pivotButton="0" quotePrefix="0" xfId="0">
      <alignment horizontal="right" vertical="center"/>
    </xf>
    <xf numFmtId="0" fontId="2" fillId="3" borderId="8" applyAlignment="1" pivotButton="0" quotePrefix="0" xfId="0">
      <alignment horizontal="left" vertical="center"/>
    </xf>
    <xf numFmtId="166" fontId="2" fillId="5" borderId="10" applyAlignment="1" pivotButton="0" quotePrefix="0" xfId="0">
      <alignment horizontal="right" vertical="center"/>
    </xf>
    <xf numFmtId="168" fontId="4" fillId="0" borderId="9" applyAlignment="1" pivotButton="0" quotePrefix="0" xfId="0">
      <alignment horizontal="right" vertical="center"/>
    </xf>
    <xf numFmtId="168" fontId="4" fillId="0" borderId="10" applyAlignment="1" pivotButton="0" quotePrefix="0" xfId="0">
      <alignment horizontal="right" vertical="center"/>
    </xf>
    <xf numFmtId="166" fontId="4" fillId="0" borderId="9" applyAlignment="1" pivotButton="0" quotePrefix="0" xfId="0">
      <alignment horizontal="right" vertical="center"/>
    </xf>
    <xf numFmtId="166" fontId="4" fillId="0" borderId="10" applyAlignment="1" pivotButton="0" quotePrefix="0" xfId="0">
      <alignment horizontal="right" vertical="center"/>
    </xf>
    <xf numFmtId="166" fontId="2" fillId="0" borderId="9" applyAlignment="1" pivotButton="0" quotePrefix="0" xfId="0">
      <alignment horizontal="right" vertical="center"/>
    </xf>
    <xf numFmtId="166" fontId="2" fillId="0" borderId="10" applyAlignment="1" pivotButton="0" quotePrefix="0" xfId="0">
      <alignment horizontal="right" vertical="center"/>
    </xf>
    <xf numFmtId="167" fontId="2" fillId="5" borderId="9" applyAlignment="1" pivotButton="0" quotePrefix="0" xfId="0">
      <alignment horizontal="right" vertical="center"/>
    </xf>
    <xf numFmtId="167" fontId="2" fillId="5" borderId="10" applyAlignment="1" pivotButton="0" quotePrefix="0" xfId="0">
      <alignment horizontal="right" vertical="center"/>
    </xf>
    <xf numFmtId="167" fontId="4" fillId="0" borderId="9" applyAlignment="1" pivotButton="0" quotePrefix="0" xfId="0">
      <alignment horizontal="right" vertical="center"/>
    </xf>
    <xf numFmtId="167" fontId="4" fillId="0" borderId="10" applyAlignment="1" pivotButton="0" quotePrefix="0" xfId="0">
      <alignment horizontal="right" vertical="center"/>
    </xf>
    <xf numFmtId="167" fontId="2" fillId="0" borderId="15" applyAlignment="1" pivotButton="0" quotePrefix="0" xfId="0">
      <alignment horizontal="right" vertical="center"/>
    </xf>
    <xf numFmtId="167" fontId="5" fillId="4" borderId="9" applyAlignment="1" pivotButton="0" quotePrefix="0" xfId="0">
      <alignment horizontal="right" vertical="center"/>
    </xf>
    <xf numFmtId="167" fontId="7" fillId="6" borderId="15" applyAlignment="1" pivotButton="0" quotePrefix="0" xfId="0">
      <alignment horizontal="right" vertical="center"/>
    </xf>
    <xf numFmtId="167" fontId="7" fillId="5" borderId="15" applyAlignment="1" pivotButton="0" quotePrefix="0" xfId="0">
      <alignment horizontal="right" vertical="center"/>
    </xf>
    <xf numFmtId="167" fontId="2" fillId="0" borderId="9" applyAlignment="1" pivotButton="0" quotePrefix="0" xfId="0">
      <alignment horizontal="right" vertical="center"/>
    </xf>
    <xf numFmtId="167" fontId="2" fillId="0" borderId="10" applyAlignment="1" pivotButton="0" quotePrefix="0" xfId="0">
      <alignment horizontal="right" vertical="center"/>
    </xf>
    <xf numFmtId="169" fontId="4" fillId="0" borderId="9" applyAlignment="1" pivotButton="0" quotePrefix="0" xfId="0">
      <alignment horizontal="right" vertical="center"/>
    </xf>
    <xf numFmtId="169" fontId="4" fillId="0" borderId="10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170" fontId="4" fillId="0" borderId="10" applyAlignment="1" pivotButton="0" quotePrefix="0" xfId="0">
      <alignment horizontal="right" vertical="center"/>
    </xf>
    <xf numFmtId="0" fontId="0" fillId="0" borderId="8" pivotButton="0" quotePrefix="0" xfId="0"/>
    <xf numFmtId="0" fontId="3" fillId="2" borderId="8" pivotButton="0" quotePrefix="0" xfId="0"/>
    <xf numFmtId="0" fontId="7" fillId="0" borderId="5" pivotButton="0" quotePrefix="0" xfId="0"/>
    <xf numFmtId="166" fontId="7" fillId="5" borderId="7" applyAlignment="1" pivotButton="0" quotePrefix="0" xfId="0">
      <alignment horizontal="right" vertical="center"/>
    </xf>
    <xf numFmtId="166" fontId="4" fillId="6" borderId="9" applyAlignment="1" pivotButton="0" quotePrefix="0" xfId="0">
      <alignment horizontal="right" vertical="center"/>
    </xf>
    <xf numFmtId="0" fontId="7" fillId="0" borderId="8" pivotButton="0" quotePrefix="0" xfId="0"/>
    <xf numFmtId="166" fontId="7" fillId="5" borderId="9" applyAlignment="1" pivotButton="0" quotePrefix="0" xfId="0">
      <alignment horizontal="right" vertical="center"/>
    </xf>
    <xf numFmtId="167" fontId="4" fillId="6" borderId="9" applyAlignment="1" pivotButton="0" quotePrefix="0" xfId="0">
      <alignment horizontal="right" vertical="center"/>
    </xf>
    <xf numFmtId="165" fontId="4" fillId="6" borderId="9" applyAlignment="1" pivotButton="0" quotePrefix="0" xfId="0">
      <alignment horizontal="right" vertical="center"/>
    </xf>
    <xf numFmtId="0" fontId="9" fillId="0" borderId="8" pivotButton="0" quotePrefix="0" xfId="0"/>
    <xf numFmtId="164" fontId="9" fillId="5" borderId="16" applyAlignment="1" pivotButton="0" quotePrefix="0" xfId="0">
      <alignment horizontal="right" vertical="center"/>
    </xf>
    <xf numFmtId="164" fontId="2" fillId="6" borderId="9" applyAlignment="1" pivotButton="0" quotePrefix="0" xfId="0">
      <alignment horizontal="right" vertical="center"/>
    </xf>
    <xf numFmtId="171" fontId="7" fillId="6" borderId="9" applyAlignment="1" pivotButton="0" quotePrefix="0" xfId="0">
      <alignment horizontal="right" vertical="center"/>
    </xf>
    <xf numFmtId="168" fontId="4" fillId="6" borderId="6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0" borderId="1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4" fillId="0" borderId="12" applyAlignment="1" pivotButton="0" quotePrefix="0" xfId="0">
      <alignment horizontal="right" vertical="center"/>
    </xf>
    <xf numFmtId="164" fontId="4" fillId="0" borderId="13" applyAlignment="1" pivotButton="0" quotePrefix="0" xfId="0">
      <alignment horizontal="right" vertical="center"/>
    </xf>
    <xf numFmtId="10" fontId="2" fillId="3" borderId="9" applyAlignment="1" pivotButton="0" quotePrefix="0" xfId="0">
      <alignment horizontal="right" vertical="center"/>
    </xf>
    <xf numFmtId="10" fontId="2" fillId="3" borderId="10" applyAlignment="1" pivotButton="0" quotePrefix="0" xfId="0">
      <alignment horizontal="right" vertical="center"/>
    </xf>
    <xf numFmtId="2" fontId="2" fillId="3" borderId="9" applyAlignment="1" pivotButton="0" quotePrefix="0" xfId="0">
      <alignment horizontal="right" vertical="center"/>
    </xf>
    <xf numFmtId="2" fontId="2" fillId="3" borderId="6" applyAlignment="1" pivotButton="0" quotePrefix="0" xfId="0">
      <alignment horizontal="right" vertical="center"/>
    </xf>
    <xf numFmtId="10" fontId="5" fillId="4" borderId="9" applyAlignment="1" pivotButton="0" quotePrefix="0" xfId="0">
      <alignment horizontal="right" vertical="center"/>
    </xf>
    <xf numFmtId="2" fontId="5" fillId="4" borderId="9" applyAlignment="1" pivotButton="0" quotePrefix="0" xfId="0">
      <alignment horizontal="right" vertical="center"/>
    </xf>
    <xf numFmtId="10" fontId="2" fillId="5" borderId="6" applyAlignment="1" pivotButton="0" quotePrefix="0" xfId="0">
      <alignment horizontal="right" vertical="center"/>
    </xf>
    <xf numFmtId="10" fontId="6" fillId="6" borderId="9" applyAlignment="1" pivotButton="0" quotePrefix="0" xfId="0">
      <alignment horizontal="right" vertical="center"/>
    </xf>
    <xf numFmtId="0" fontId="2" fillId="3" borderId="14" applyAlignment="1" pivotButton="0" quotePrefix="0" xfId="0">
      <alignment horizontal="left" vertical="center"/>
    </xf>
    <xf numFmtId="0" fontId="2" fillId="3" borderId="11" applyAlignment="1" pivotButton="0" quotePrefix="0" xfId="0">
      <alignment horizontal="right" vertical="center"/>
    </xf>
    <xf numFmtId="0" fontId="4" fillId="0" borderId="14" pivotButton="0" quotePrefix="0" xfId="0"/>
    <xf numFmtId="166" fontId="6" fillId="0" borderId="1" pivotButton="0" quotePrefix="0" xfId="0"/>
    <xf numFmtId="168" fontId="4" fillId="0" borderId="1" pivotButton="0" quotePrefix="0" xfId="0"/>
    <xf numFmtId="10" fontId="4" fillId="0" borderId="11" pivotButton="0" quotePrefix="0" xfId="0"/>
    <xf numFmtId="0" fontId="2" fillId="0" borderId="14" pivotButton="0" quotePrefix="0" xfId="0"/>
    <xf numFmtId="166" fontId="2" fillId="0" borderId="1" pivotButton="0" quotePrefix="0" xfId="0"/>
    <xf numFmtId="168" fontId="2" fillId="0" borderId="1" pivotButton="0" quotePrefix="0" xfId="0"/>
    <xf numFmtId="10" fontId="2" fillId="5" borderId="11" pivotButton="0" quotePrefix="0" xfId="0"/>
    <xf numFmtId="10" fontId="7" fillId="5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Equity Research</author>
  </authors>
  <commentList>
    <comment ref="B5" authorId="0" shapeId="0">
      <text>
        <t>Enter 1 for Bear Case, 2 for Base Case (Consensus), 3 for Bull Case</t>
      </text>
    </comment>
    <comment ref="C8" authorId="0" shapeId="0">
      <text>
        <t>Source: NASDAQ: SPCX Market Close, August 18, 2026</t>
      </text>
    </comment>
    <comment ref="C9" authorId="0" shapeId="0">
      <text>
        <t>Source: SpaceX S-1/A Filing &amp; Q2 2026 10-Q (Class A and Class B diluted common shares)</t>
      </text>
    </comment>
    <comment ref="C11" authorId="0" shapeId="0">
      <text>
        <t>Source: SpaceX Form 10-Q Balance Sheet as of June 30, 2026 (Long-term debt + lease obligations)</t>
      </text>
    </comment>
    <comment ref="C12" authorId="0" shapeId="0">
      <text>
        <t>Source: SpaceX Form 10-Q Balance Sheet as of June 30, 2026 (Cash &amp; short-term investments incl. IPO proceeds)</t>
      </text>
    </comment>
    <comment ref="F18" authorId="0" shapeId="0">
      <text>
        <t>Assumption: Revenue YoY Growth (%) (SCENARIO 1)</t>
      </text>
    </comment>
    <comment ref="G18" authorId="0" shapeId="0">
      <text>
        <t>Assumption: Revenue YoY Growth (%) (SCENARIO 1)</t>
      </text>
    </comment>
    <comment ref="H18" authorId="0" shapeId="0">
      <text>
        <t>Assumption: Revenue YoY Growth (%) (SCENARIO 1)</t>
      </text>
    </comment>
    <comment ref="I18" authorId="0" shapeId="0">
      <text>
        <t>Assumption: Revenue YoY Growth (%) (SCENARIO 1)</t>
      </text>
    </comment>
    <comment ref="J18" authorId="0" shapeId="0">
      <text>
        <t>Assumption: Revenue YoY Growth (%) (SCENARIO 1)</t>
      </text>
    </comment>
    <comment ref="F19" authorId="0" shapeId="0">
      <text>
        <t>Assumption: Gross Profit Margin (%) (SCENARIO 1)</t>
      </text>
    </comment>
    <comment ref="G19" authorId="0" shapeId="0">
      <text>
        <t>Assumption: Gross Profit Margin (%) (SCENARIO 1)</t>
      </text>
    </comment>
    <comment ref="H19" authorId="0" shapeId="0">
      <text>
        <t>Assumption: Gross Profit Margin (%) (SCENARIO 1)</t>
      </text>
    </comment>
    <comment ref="I19" authorId="0" shapeId="0">
      <text>
        <t>Assumption: Gross Profit Margin (%) (SCENARIO 1)</t>
      </text>
    </comment>
    <comment ref="J19" authorId="0" shapeId="0">
      <text>
        <t>Assumption: Gross Profit Margin (%) (SCENARIO 1)</t>
      </text>
    </comment>
    <comment ref="F20" authorId="0" shapeId="0">
      <text>
        <t>Assumption: R&amp;D Expense (% of Revenue) (SCENARIO 1)</t>
      </text>
    </comment>
    <comment ref="G20" authorId="0" shapeId="0">
      <text>
        <t>Assumption: R&amp;D Expense (% of Revenue) (SCENARIO 1)</t>
      </text>
    </comment>
    <comment ref="H20" authorId="0" shapeId="0">
      <text>
        <t>Assumption: R&amp;D Expense (% of Revenue) (SCENARIO 1)</t>
      </text>
    </comment>
    <comment ref="I20" authorId="0" shapeId="0">
      <text>
        <t>Assumption: R&amp;D Expense (% of Revenue) (SCENARIO 1)</t>
      </text>
    </comment>
    <comment ref="J20" authorId="0" shapeId="0">
      <text>
        <t>Assumption: R&amp;D Expense (% of Revenue) (SCENARIO 1)</t>
      </text>
    </comment>
    <comment ref="F21" authorId="0" shapeId="0">
      <text>
        <t>Assumption: SG&amp;A Expense (% of Revenue) (SCENARIO 1)</t>
      </text>
    </comment>
    <comment ref="G21" authorId="0" shapeId="0">
      <text>
        <t>Assumption: SG&amp;A Expense (% of Revenue) (SCENARIO 1)</t>
      </text>
    </comment>
    <comment ref="H21" authorId="0" shapeId="0">
      <text>
        <t>Assumption: SG&amp;A Expense (% of Revenue) (SCENARIO 1)</t>
      </text>
    </comment>
    <comment ref="I21" authorId="0" shapeId="0">
      <text>
        <t>Assumption: SG&amp;A Expense (% of Revenue) (SCENARIO 1)</t>
      </text>
    </comment>
    <comment ref="J21" authorId="0" shapeId="0">
      <text>
        <t>Assumption: SG&amp;A Expense (% of Revenue) (SCENARIO 1)</t>
      </text>
    </comment>
    <comment ref="F22" authorId="0" shapeId="0">
      <text>
        <t>Assumption: Operating Margin (EBIT %) Target (SCENARIO 1)</t>
      </text>
    </comment>
    <comment ref="G22" authorId="0" shapeId="0">
      <text>
        <t>Assumption: Operating Margin (EBIT %) Target (SCENARIO 1)</t>
      </text>
    </comment>
    <comment ref="H22" authorId="0" shapeId="0">
      <text>
        <t>Assumption: Operating Margin (EBIT %) Target (SCENARIO 1)</t>
      </text>
    </comment>
    <comment ref="I22" authorId="0" shapeId="0">
      <text>
        <t>Assumption: Operating Margin (EBIT %) Target (SCENARIO 1)</t>
      </text>
    </comment>
    <comment ref="J22" authorId="0" shapeId="0">
      <text>
        <t>Assumption: Operating Margin (EBIT %) Target (SCENARIO 1)</t>
      </text>
    </comment>
    <comment ref="F23" authorId="0" shapeId="0">
      <text>
        <t>Assumption: Effective Tax Rate (%) (SCENARIO 1)</t>
      </text>
    </comment>
    <comment ref="G23" authorId="0" shapeId="0">
      <text>
        <t>Assumption: Effective Tax Rate (%) (SCENARIO 1)</t>
      </text>
    </comment>
    <comment ref="H23" authorId="0" shapeId="0">
      <text>
        <t>Assumption: Effective Tax Rate (%) (SCENARIO 1)</t>
      </text>
    </comment>
    <comment ref="I23" authorId="0" shapeId="0">
      <text>
        <t>Assumption: Effective Tax Rate (%) (SCENARIO 1)</t>
      </text>
    </comment>
    <comment ref="J23" authorId="0" shapeId="0">
      <text>
        <t>Assumption: Effective Tax Rate (%) (SCENARIO 1)</t>
      </text>
    </comment>
    <comment ref="F24" authorId="0" shapeId="0">
      <text>
        <t>Assumption: Depreciation &amp; Amortization (% of Rev) (SCENARIO 1)</t>
      </text>
    </comment>
    <comment ref="G24" authorId="0" shapeId="0">
      <text>
        <t>Assumption: Depreciation &amp; Amortization (% of Rev) (SCENARIO 1)</t>
      </text>
    </comment>
    <comment ref="H24" authorId="0" shapeId="0">
      <text>
        <t>Assumption: Depreciation &amp; Amortization (% of Rev) (SCENARIO 1)</t>
      </text>
    </comment>
    <comment ref="I24" authorId="0" shapeId="0">
      <text>
        <t>Assumption: Depreciation &amp; Amortization (% of Rev) (SCENARIO 1)</t>
      </text>
    </comment>
    <comment ref="J24" authorId="0" shapeId="0">
      <text>
        <t>Assumption: Depreciation &amp; Amortization (% of Rev) (SCENARIO 1)</t>
      </text>
    </comment>
    <comment ref="F25" authorId="0" shapeId="0">
      <text>
        <t>Assumption: Capital Expenditures (% of Rev) (SCENARIO 1)</t>
      </text>
    </comment>
    <comment ref="G25" authorId="0" shapeId="0">
      <text>
        <t>Assumption: Capital Expenditures (% of Rev) (SCENARIO 1)</t>
      </text>
    </comment>
    <comment ref="H25" authorId="0" shapeId="0">
      <text>
        <t>Assumption: Capital Expenditures (% of Rev) (SCENARIO 1)</t>
      </text>
    </comment>
    <comment ref="I25" authorId="0" shapeId="0">
      <text>
        <t>Assumption: Capital Expenditures (% of Rev) (SCENARIO 1)</t>
      </text>
    </comment>
    <comment ref="J25" authorId="0" shapeId="0">
      <text>
        <t>Assumption: Capital Expenditures (% of Rev) (SCENARIO 1)</t>
      </text>
    </comment>
    <comment ref="F26" authorId="0" shapeId="0">
      <text>
        <t>Assumption: Change in NWC (% of Δ Revenue) (SCENARIO 1)</t>
      </text>
    </comment>
    <comment ref="G26" authorId="0" shapeId="0">
      <text>
        <t>Assumption: Change in NWC (% of Δ Revenue) (SCENARIO 1)</t>
      </text>
    </comment>
    <comment ref="H26" authorId="0" shapeId="0">
      <text>
        <t>Assumption: Change in NWC (% of Δ Revenue) (SCENARIO 1)</t>
      </text>
    </comment>
    <comment ref="I26" authorId="0" shapeId="0">
      <text>
        <t>Assumption: Change in NWC (% of Δ Revenue) (SCENARIO 1)</t>
      </text>
    </comment>
    <comment ref="J26" authorId="0" shapeId="0">
      <text>
        <t>Assumption: Change in NWC (% of Δ Revenue) (SCENARIO 1)</t>
      </text>
    </comment>
    <comment ref="K27" authorId="0" shapeId="0">
      <text>
        <t>Assumption: Terminal Perpetuity Growth Rate (g) (SCENARIO 1)</t>
      </text>
    </comment>
    <comment ref="F28" authorId="0" shapeId="0">
      <text>
        <t>Assumption: Discount Rate (WACC) (SCENARIO 1)</t>
      </text>
    </comment>
    <comment ref="G28" authorId="0" shapeId="0">
      <text>
        <t>Assumption: Discount Rate (WACC) (SCENARIO 1)</t>
      </text>
    </comment>
    <comment ref="H28" authorId="0" shapeId="0">
      <text>
        <t>Assumption: Discount Rate (WACC) (SCENARIO 1)</t>
      </text>
    </comment>
    <comment ref="I28" authorId="0" shapeId="0">
      <text>
        <t>Assumption: Discount Rate (WACC) (SCENARIO 1)</t>
      </text>
    </comment>
    <comment ref="J28" authorId="0" shapeId="0">
      <text>
        <t>Assumption: Discount Rate (WACC) (SCENARIO 1)</t>
      </text>
    </comment>
    <comment ref="K28" authorId="0" shapeId="0">
      <text>
        <t>Assumption: Discount Rate (WACC) (SCENARIO 1)</t>
      </text>
    </comment>
    <comment ref="F32" authorId="0" shapeId="0">
      <text>
        <t>Assumption: Revenue YoY Growth (%) (SCENARIO 2)</t>
      </text>
    </comment>
    <comment ref="G32" authorId="0" shapeId="0">
      <text>
        <t>Assumption: Revenue YoY Growth (%) (SCENARIO 2)</t>
      </text>
    </comment>
    <comment ref="H32" authorId="0" shapeId="0">
      <text>
        <t>Assumption: Revenue YoY Growth (%) (SCENARIO 2)</t>
      </text>
    </comment>
    <comment ref="I32" authorId="0" shapeId="0">
      <text>
        <t>Assumption: Revenue YoY Growth (%) (SCENARIO 2)</t>
      </text>
    </comment>
    <comment ref="J32" authorId="0" shapeId="0">
      <text>
        <t>Assumption: Revenue YoY Growth (%) (SCENARIO 2)</t>
      </text>
    </comment>
    <comment ref="F33" authorId="0" shapeId="0">
      <text>
        <t>Assumption: Gross Profit Margin (%) (SCENARIO 2)</t>
      </text>
    </comment>
    <comment ref="G33" authorId="0" shapeId="0">
      <text>
        <t>Assumption: Gross Profit Margin (%) (SCENARIO 2)</t>
      </text>
    </comment>
    <comment ref="H33" authorId="0" shapeId="0">
      <text>
        <t>Assumption: Gross Profit Margin (%) (SCENARIO 2)</t>
      </text>
    </comment>
    <comment ref="I33" authorId="0" shapeId="0">
      <text>
        <t>Assumption: Gross Profit Margin (%) (SCENARIO 2)</t>
      </text>
    </comment>
    <comment ref="J33" authorId="0" shapeId="0">
      <text>
        <t>Assumption: Gross Profit Margin (%) (SCENARIO 2)</t>
      </text>
    </comment>
    <comment ref="F34" authorId="0" shapeId="0">
      <text>
        <t>Assumption: R&amp;D Expense (% of Revenue) (SCENARIO 2)</t>
      </text>
    </comment>
    <comment ref="G34" authorId="0" shapeId="0">
      <text>
        <t>Assumption: R&amp;D Expense (% of Revenue) (SCENARIO 2)</t>
      </text>
    </comment>
    <comment ref="H34" authorId="0" shapeId="0">
      <text>
        <t>Assumption: R&amp;D Expense (% of Revenue) (SCENARIO 2)</t>
      </text>
    </comment>
    <comment ref="I34" authorId="0" shapeId="0">
      <text>
        <t>Assumption: R&amp;D Expense (% of Revenue) (SCENARIO 2)</t>
      </text>
    </comment>
    <comment ref="J34" authorId="0" shapeId="0">
      <text>
        <t>Assumption: R&amp;D Expense (% of Revenue) (SCENARIO 2)</t>
      </text>
    </comment>
    <comment ref="F35" authorId="0" shapeId="0">
      <text>
        <t>Assumption: SG&amp;A Expense (% of Revenue) (SCENARIO 2)</t>
      </text>
    </comment>
    <comment ref="G35" authorId="0" shapeId="0">
      <text>
        <t>Assumption: SG&amp;A Expense (% of Revenue) (SCENARIO 2)</t>
      </text>
    </comment>
    <comment ref="H35" authorId="0" shapeId="0">
      <text>
        <t>Assumption: SG&amp;A Expense (% of Revenue) (SCENARIO 2)</t>
      </text>
    </comment>
    <comment ref="I35" authorId="0" shapeId="0">
      <text>
        <t>Assumption: SG&amp;A Expense (% of Revenue) (SCENARIO 2)</t>
      </text>
    </comment>
    <comment ref="J35" authorId="0" shapeId="0">
      <text>
        <t>Assumption: SG&amp;A Expense (% of Revenue) (SCENARIO 2)</t>
      </text>
    </comment>
    <comment ref="F36" authorId="0" shapeId="0">
      <text>
        <t>Assumption: Operating Margin (EBIT %) Target (SCENARIO 2)</t>
      </text>
    </comment>
    <comment ref="G36" authorId="0" shapeId="0">
      <text>
        <t>Assumption: Operating Margin (EBIT %) Target (SCENARIO 2)</t>
      </text>
    </comment>
    <comment ref="H36" authorId="0" shapeId="0">
      <text>
        <t>Assumption: Operating Margin (EBIT %) Target (SCENARIO 2)</t>
      </text>
    </comment>
    <comment ref="I36" authorId="0" shapeId="0">
      <text>
        <t>Assumption: Operating Margin (EBIT %) Target (SCENARIO 2)</t>
      </text>
    </comment>
    <comment ref="J36" authorId="0" shapeId="0">
      <text>
        <t>Assumption: Operating Margin (EBIT %) Target (SCENARIO 2)</t>
      </text>
    </comment>
    <comment ref="F37" authorId="0" shapeId="0">
      <text>
        <t>Assumption: Effective Tax Rate (%) (SCENARIO 2)</t>
      </text>
    </comment>
    <comment ref="G37" authorId="0" shapeId="0">
      <text>
        <t>Assumption: Effective Tax Rate (%) (SCENARIO 2)</t>
      </text>
    </comment>
    <comment ref="H37" authorId="0" shapeId="0">
      <text>
        <t>Assumption: Effective Tax Rate (%) (SCENARIO 2)</t>
      </text>
    </comment>
    <comment ref="I37" authorId="0" shapeId="0">
      <text>
        <t>Assumption: Effective Tax Rate (%) (SCENARIO 2)</t>
      </text>
    </comment>
    <comment ref="J37" authorId="0" shapeId="0">
      <text>
        <t>Assumption: Effective Tax Rate (%) (SCENARIO 2)</t>
      </text>
    </comment>
    <comment ref="F38" authorId="0" shapeId="0">
      <text>
        <t>Assumption: Depreciation &amp; Amortization (% of Rev) (SCENARIO 2)</t>
      </text>
    </comment>
    <comment ref="G38" authorId="0" shapeId="0">
      <text>
        <t>Assumption: Depreciation &amp; Amortization (% of Rev) (SCENARIO 2)</t>
      </text>
    </comment>
    <comment ref="H38" authorId="0" shapeId="0">
      <text>
        <t>Assumption: Depreciation &amp; Amortization (% of Rev) (SCENARIO 2)</t>
      </text>
    </comment>
    <comment ref="I38" authorId="0" shapeId="0">
      <text>
        <t>Assumption: Depreciation &amp; Amortization (% of Rev) (SCENARIO 2)</t>
      </text>
    </comment>
    <comment ref="J38" authorId="0" shapeId="0">
      <text>
        <t>Assumption: Depreciation &amp; Amortization (% of Rev) (SCENARIO 2)</t>
      </text>
    </comment>
    <comment ref="F39" authorId="0" shapeId="0">
      <text>
        <t>Assumption: Capital Expenditures (% of Rev) (SCENARIO 2)</t>
      </text>
    </comment>
    <comment ref="G39" authorId="0" shapeId="0">
      <text>
        <t>Assumption: Capital Expenditures (% of Rev) (SCENARIO 2)</t>
      </text>
    </comment>
    <comment ref="H39" authorId="0" shapeId="0">
      <text>
        <t>Assumption: Capital Expenditures (% of Rev) (SCENARIO 2)</t>
      </text>
    </comment>
    <comment ref="I39" authorId="0" shapeId="0">
      <text>
        <t>Assumption: Capital Expenditures (% of Rev) (SCENARIO 2)</t>
      </text>
    </comment>
    <comment ref="J39" authorId="0" shapeId="0">
      <text>
        <t>Assumption: Capital Expenditures (% of Rev) (SCENARIO 2)</t>
      </text>
    </comment>
    <comment ref="F40" authorId="0" shapeId="0">
      <text>
        <t>Assumption: Change in NWC (% of Δ Revenue) (SCENARIO 2)</t>
      </text>
    </comment>
    <comment ref="G40" authorId="0" shapeId="0">
      <text>
        <t>Assumption: Change in NWC (% of Δ Revenue) (SCENARIO 2)</t>
      </text>
    </comment>
    <comment ref="H40" authorId="0" shapeId="0">
      <text>
        <t>Assumption: Change in NWC (% of Δ Revenue) (SCENARIO 2)</t>
      </text>
    </comment>
    <comment ref="I40" authorId="0" shapeId="0">
      <text>
        <t>Assumption: Change in NWC (% of Δ Revenue) (SCENARIO 2)</t>
      </text>
    </comment>
    <comment ref="J40" authorId="0" shapeId="0">
      <text>
        <t>Assumption: Change in NWC (% of Δ Revenue) (SCENARIO 2)</t>
      </text>
    </comment>
    <comment ref="K41" authorId="0" shapeId="0">
      <text>
        <t>Assumption: Terminal Perpetuity Growth Rate (g) (SCENARIO 2)</t>
      </text>
    </comment>
    <comment ref="F46" authorId="0" shapeId="0">
      <text>
        <t>Assumption: Revenue YoY Growth (%) (SCENARIO 3)</t>
      </text>
    </comment>
    <comment ref="G46" authorId="0" shapeId="0">
      <text>
        <t>Assumption: Revenue YoY Growth (%) (SCENARIO 3)</t>
      </text>
    </comment>
    <comment ref="H46" authorId="0" shapeId="0">
      <text>
        <t>Assumption: Revenue YoY Growth (%) (SCENARIO 3)</t>
      </text>
    </comment>
    <comment ref="I46" authorId="0" shapeId="0">
      <text>
        <t>Assumption: Revenue YoY Growth (%) (SCENARIO 3)</t>
      </text>
    </comment>
    <comment ref="J46" authorId="0" shapeId="0">
      <text>
        <t>Assumption: Revenue YoY Growth (%) (SCENARIO 3)</t>
      </text>
    </comment>
    <comment ref="F47" authorId="0" shapeId="0">
      <text>
        <t>Assumption: Gross Profit Margin (%) (SCENARIO 3)</t>
      </text>
    </comment>
    <comment ref="G47" authorId="0" shapeId="0">
      <text>
        <t>Assumption: Gross Profit Margin (%) (SCENARIO 3)</t>
      </text>
    </comment>
    <comment ref="H47" authorId="0" shapeId="0">
      <text>
        <t>Assumption: Gross Profit Margin (%) (SCENARIO 3)</t>
      </text>
    </comment>
    <comment ref="I47" authorId="0" shapeId="0">
      <text>
        <t>Assumption: Gross Profit Margin (%) (SCENARIO 3)</t>
      </text>
    </comment>
    <comment ref="J47" authorId="0" shapeId="0">
      <text>
        <t>Assumption: Gross Profit Margin (%) (SCENARIO 3)</t>
      </text>
    </comment>
    <comment ref="F48" authorId="0" shapeId="0">
      <text>
        <t>Assumption: R&amp;D Expense (% of Revenue) (SCENARIO 3)</t>
      </text>
    </comment>
    <comment ref="G48" authorId="0" shapeId="0">
      <text>
        <t>Assumption: R&amp;D Expense (% of Revenue) (SCENARIO 3)</t>
      </text>
    </comment>
    <comment ref="H48" authorId="0" shapeId="0">
      <text>
        <t>Assumption: R&amp;D Expense (% of Revenue) (SCENARIO 3)</t>
      </text>
    </comment>
    <comment ref="I48" authorId="0" shapeId="0">
      <text>
        <t>Assumption: R&amp;D Expense (% of Revenue) (SCENARIO 3)</t>
      </text>
    </comment>
    <comment ref="J48" authorId="0" shapeId="0">
      <text>
        <t>Assumption: R&amp;D Expense (% of Revenue) (SCENARIO 3)</t>
      </text>
    </comment>
    <comment ref="F49" authorId="0" shapeId="0">
      <text>
        <t>Assumption: SG&amp;A Expense (% of Revenue) (SCENARIO 3)</t>
      </text>
    </comment>
    <comment ref="G49" authorId="0" shapeId="0">
      <text>
        <t>Assumption: SG&amp;A Expense (% of Revenue) (SCENARIO 3)</t>
      </text>
    </comment>
    <comment ref="H49" authorId="0" shapeId="0">
      <text>
        <t>Assumption: SG&amp;A Expense (% of Revenue) (SCENARIO 3)</t>
      </text>
    </comment>
    <comment ref="I49" authorId="0" shapeId="0">
      <text>
        <t>Assumption: SG&amp;A Expense (% of Revenue) (SCENARIO 3)</t>
      </text>
    </comment>
    <comment ref="J49" authorId="0" shapeId="0">
      <text>
        <t>Assumption: SG&amp;A Expense (% of Revenue) (SCENARIO 3)</t>
      </text>
    </comment>
    <comment ref="F50" authorId="0" shapeId="0">
      <text>
        <t>Assumption: Operating Margin (EBIT %) Target (SCENARIO 3)</t>
      </text>
    </comment>
    <comment ref="G50" authorId="0" shapeId="0">
      <text>
        <t>Assumption: Operating Margin (EBIT %) Target (SCENARIO 3)</t>
      </text>
    </comment>
    <comment ref="H50" authorId="0" shapeId="0">
      <text>
        <t>Assumption: Operating Margin (EBIT %) Target (SCENARIO 3)</t>
      </text>
    </comment>
    <comment ref="I50" authorId="0" shapeId="0">
      <text>
        <t>Assumption: Operating Margin (EBIT %) Target (SCENARIO 3)</t>
      </text>
    </comment>
    <comment ref="J50" authorId="0" shapeId="0">
      <text>
        <t>Assumption: Operating Margin (EBIT %) Target (SCENARIO 3)</t>
      </text>
    </comment>
    <comment ref="F51" authorId="0" shapeId="0">
      <text>
        <t>Assumption: Effective Tax Rate (%) (SCENARIO 3)</t>
      </text>
    </comment>
    <comment ref="G51" authorId="0" shapeId="0">
      <text>
        <t>Assumption: Effective Tax Rate (%) (SCENARIO 3)</t>
      </text>
    </comment>
    <comment ref="H51" authorId="0" shapeId="0">
      <text>
        <t>Assumption: Effective Tax Rate (%) (SCENARIO 3)</t>
      </text>
    </comment>
    <comment ref="I51" authorId="0" shapeId="0">
      <text>
        <t>Assumption: Effective Tax Rate (%) (SCENARIO 3)</t>
      </text>
    </comment>
    <comment ref="J51" authorId="0" shapeId="0">
      <text>
        <t>Assumption: Effective Tax Rate (%) (SCENARIO 3)</t>
      </text>
    </comment>
    <comment ref="F52" authorId="0" shapeId="0">
      <text>
        <t>Assumption: Depreciation &amp; Amortization (% of Rev) (SCENARIO 3)</t>
      </text>
    </comment>
    <comment ref="G52" authorId="0" shapeId="0">
      <text>
        <t>Assumption: Depreciation &amp; Amortization (% of Rev) (SCENARIO 3)</t>
      </text>
    </comment>
    <comment ref="H52" authorId="0" shapeId="0">
      <text>
        <t>Assumption: Depreciation &amp; Amortization (% of Rev) (SCENARIO 3)</t>
      </text>
    </comment>
    <comment ref="I52" authorId="0" shapeId="0">
      <text>
        <t>Assumption: Depreciation &amp; Amortization (% of Rev) (SCENARIO 3)</t>
      </text>
    </comment>
    <comment ref="J52" authorId="0" shapeId="0">
      <text>
        <t>Assumption: Depreciation &amp; Amortization (% of Rev) (SCENARIO 3)</t>
      </text>
    </comment>
    <comment ref="F53" authorId="0" shapeId="0">
      <text>
        <t>Assumption: Capital Expenditures (% of Rev) (SCENARIO 3)</t>
      </text>
    </comment>
    <comment ref="G53" authorId="0" shapeId="0">
      <text>
        <t>Assumption: Capital Expenditures (% of Rev) (SCENARIO 3)</t>
      </text>
    </comment>
    <comment ref="H53" authorId="0" shapeId="0">
      <text>
        <t>Assumption: Capital Expenditures (% of Rev) (SCENARIO 3)</t>
      </text>
    </comment>
    <comment ref="I53" authorId="0" shapeId="0">
      <text>
        <t>Assumption: Capital Expenditures (% of Rev) (SCENARIO 3)</t>
      </text>
    </comment>
    <comment ref="J53" authorId="0" shapeId="0">
      <text>
        <t>Assumption: Capital Expenditures (% of Rev) (SCENARIO 3)</t>
      </text>
    </comment>
    <comment ref="F54" authorId="0" shapeId="0">
      <text>
        <t>Assumption: Change in NWC (% of Δ Revenue) (SCENARIO 3)</t>
      </text>
    </comment>
    <comment ref="G54" authorId="0" shapeId="0">
      <text>
        <t>Assumption: Change in NWC (% of Δ Revenue) (SCENARIO 3)</t>
      </text>
    </comment>
    <comment ref="H54" authorId="0" shapeId="0">
      <text>
        <t>Assumption: Change in NWC (% of Δ Revenue) (SCENARIO 3)</t>
      </text>
    </comment>
    <comment ref="I54" authorId="0" shapeId="0">
      <text>
        <t>Assumption: Change in NWC (% of Δ Revenue) (SCENARIO 3)</t>
      </text>
    </comment>
    <comment ref="J54" authorId="0" shapeId="0">
      <text>
        <t>Assumption: Change in NWC (% of Δ Revenue) (SCENARIO 3)</t>
      </text>
    </comment>
    <comment ref="K55" authorId="0" shapeId="0">
      <text>
        <t>Assumption: Terminal Perpetuity Growth Rate (g) (SCENARIO 3)</t>
      </text>
    </comment>
    <comment ref="F56" authorId="0" shapeId="0">
      <text>
        <t>Assumption: Discount Rate (WACC) (SCENARIO 3)</t>
      </text>
    </comment>
    <comment ref="G56" authorId="0" shapeId="0">
      <text>
        <t>Assumption: Discount Rate (WACC) (SCENARIO 3)</t>
      </text>
    </comment>
    <comment ref="H56" authorId="0" shapeId="0">
      <text>
        <t>Assumption: Discount Rate (WACC) (SCENARIO 3)</t>
      </text>
    </comment>
    <comment ref="I56" authorId="0" shapeId="0">
      <text>
        <t>Assumption: Discount Rate (WACC) (SCENARIO 3)</t>
      </text>
    </comment>
    <comment ref="J56" authorId="0" shapeId="0">
      <text>
        <t>Assumption: Discount Rate (WACC) (SCENARIO 3)</t>
      </text>
    </comment>
    <comment ref="K56" authorId="0" shapeId="0">
      <text>
        <t>Assumption: Discount Rate (WACC) (SCENARIO 3)</t>
      </text>
    </comment>
    <comment ref="C74" authorId="0" shapeId="0">
      <text>
        <t>Source: SpaceX S-1 Registration Statement FY2023 Audited Revenue</t>
      </text>
    </comment>
    <comment ref="D74" authorId="0" shapeId="0">
      <text>
        <t>Source: SpaceX S-1 Registration Statement FY2024 Audited Revenue</t>
      </text>
    </comment>
    <comment ref="E74" authorId="0" shapeId="0">
      <text>
        <t>Source: SpaceX S-1 Registration Statement FY2025 Audited Revenue</t>
      </text>
    </comment>
    <comment ref="C76" authorId="0" shapeId="0">
      <text>
        <t>Source: SpaceX S-1 Consolidated Financial Statements (Cost of Revenue)</t>
      </text>
    </comment>
    <comment ref="D76" authorId="0" shapeId="0">
      <text>
        <t>Source: SpaceX S-1 Consolidated Financial Statements (Cost of Revenue)</t>
      </text>
    </comment>
    <comment ref="E76" authorId="0" shapeId="0">
      <text>
        <t>Source: SpaceX S-1 Consolidated Financial Statements (Cost of Revenue)</t>
      </text>
    </comment>
    <comment ref="C80" authorId="0" shapeId="0">
      <text>
        <t>Source: SpaceX S-1 Filings (R&amp;D expenditures incl. Starship &amp; xAI engineering)</t>
      </text>
    </comment>
    <comment ref="D80" authorId="0" shapeId="0">
      <text>
        <t>Source: SpaceX S-1 Filings (R&amp;D expenditures incl. Starship &amp; xAI engineering)</t>
      </text>
    </comment>
    <comment ref="E80" authorId="0" shapeId="0">
      <text>
        <t>Source: SpaceX S-1 Filings (R&amp;D expenditures incl. Starship &amp; xAI engineering)</t>
      </text>
    </comment>
    <comment ref="C81" authorId="0" shapeId="0">
      <text>
        <t>Source: SpaceX S-1 Filings (SG&amp;A expenses)</t>
      </text>
    </comment>
    <comment ref="D81" authorId="0" shapeId="0">
      <text>
        <t>Source: SpaceX S-1 Filings (SG&amp;A expenses)</t>
      </text>
    </comment>
    <comment ref="E81" authorId="0" shapeId="0">
      <text>
        <t>Source: SpaceX S-1 Filings (SG&amp;A expenses)</t>
      </text>
    </comment>
    <comment ref="C91" authorId="0" shapeId="0">
      <text>
        <t>Source: SpaceX S-1 Statement of Cash Flows (D&amp;A)</t>
      </text>
    </comment>
    <comment ref="D91" authorId="0" shapeId="0">
      <text>
        <t>Source: SpaceX S-1 Statement of Cash Flows (D&amp;A)</t>
      </text>
    </comment>
    <comment ref="E91" authorId="0" shapeId="0">
      <text>
        <t>Source: SpaceX S-1 Statement of Cash Flows (D&amp;A)</t>
      </text>
    </comment>
    <comment ref="C92" authorId="0" shapeId="0">
      <text>
        <t>Source: SpaceX S-1 Statement of Cash Flows (Capital Expenditures)</t>
      </text>
    </comment>
    <comment ref="D92" authorId="0" shapeId="0">
      <text>
        <t>Source: SpaceX S-1 Statement of Cash Flows (Capital Expenditures)</t>
      </text>
    </comment>
    <comment ref="E92" authorId="0" shapeId="0">
      <text>
        <t>Source: SpaceX S-1 Statement of Cash Flows (Capital Expenditures)</t>
      </text>
    </comment>
    <comment ref="C93" authorId="0" shapeId="0">
      <text>
        <t>Source: SpaceX Working capital changes from audited filings</t>
      </text>
    </comment>
    <comment ref="D93" authorId="0" shapeId="0">
      <text>
        <t>Source: SpaceX Working capital changes from audited filings</t>
      </text>
    </comment>
    <comment ref="E93" authorId="0" shapeId="0">
      <text>
        <t>Source: SpaceX Working capital changes from audited filings</t>
      </text>
    </comment>
  </commentList>
</comments>
</file>

<file path=xl/comments/comment2.xml><?xml version="1.0" encoding="utf-8"?>
<comments xmlns="http://schemas.openxmlformats.org/spreadsheetml/2006/main">
  <authors>
    <author>Equity Research</author>
  </authors>
  <commentList>
    <comment ref="B5" authorId="0" shapeId="0">
      <text>
        <t>Source: US Department of the Treasury, 10-Year Treasury Yield, August 2026</t>
      </text>
    </comment>
    <comment ref="B6" authorId="0" shapeId="0">
      <text>
        <t>Source: Bloomberg / S&amp;P Capital IQ peer beta blend (Defense, Aerospace &amp; Cloud Tech), August 2026</t>
      </text>
    </comment>
    <comment ref="B7" authorId="0" shapeId="0">
      <text>
        <t>Source: Duff &amp; Phelps / Damodaran US Equity Risk Premium Survey 2026</t>
      </text>
    </comment>
    <comment ref="B11" authorId="0" shapeId="0">
      <text>
        <t>Source: SpaceX Term Loan facilities &amp; Senior Secured Notes effective yield, August 2026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Space Exploration Technologies Corp. (SpaceX) - Institutional DCF Valuation Model</t>
        </is>
      </c>
    </row>
    <row r="2">
      <c r="A2" s="2" t="inlineStr">
        <is>
          <t>Ticker: SPCX (NASDAQ) | Date: August 19, 2026 | Historical: 2023A-2025A | Projections: 2026E-2030E | Figures in USD Millions ($M)</t>
        </is>
      </c>
    </row>
    <row r="4">
      <c r="A4" s="62" t="inlineStr">
        <is>
          <t>SCENARIO CONTROL &amp; ACTIVE CASE SELECTOR</t>
        </is>
      </c>
      <c r="B4" s="63" t="n"/>
      <c r="C4" s="63" t="n"/>
      <c r="D4" s="64" t="n"/>
    </row>
    <row r="5">
      <c r="A5" s="65" t="inlineStr">
        <is>
          <t>Select Scenario Case (1 = Bear, 2 = Base, 3 = Bull):</t>
        </is>
      </c>
      <c r="B5" s="66" t="n">
        <v>2</v>
      </c>
      <c r="C5" s="67" t="inlineStr">
        <is>
          <t>Active Scenario:</t>
        </is>
      </c>
      <c r="D5" s="68">
        <f>IF(B5=1,"Bear Case",IF(B5=2,"Base Case (Consensus)","Bull Case"))</f>
        <v/>
      </c>
    </row>
    <row r="7">
      <c r="A7" s="62" t="inlineStr">
        <is>
          <t>MARKET DATA &amp; CAPITAL STRUCTURE (USD Millions, except per share)</t>
        </is>
      </c>
      <c r="B7" s="63" t="n"/>
      <c r="C7" s="63" t="n"/>
      <c r="D7" s="64" t="n"/>
    </row>
    <row r="8">
      <c r="A8" s="69" t="inlineStr">
        <is>
          <t>Current Stock Price ($)</t>
        </is>
      </c>
      <c r="B8" s="70" t="n"/>
      <c r="C8" s="71" t="n">
        <v>143.34</v>
      </c>
      <c r="D8" s="72" t="n"/>
    </row>
    <row r="9">
      <c r="A9" s="69" t="inlineStr">
        <is>
          <t>Diluted Shares Outstanding (M)</t>
        </is>
      </c>
      <c r="B9" s="70" t="n"/>
      <c r="C9" s="73" t="n">
        <v>13570</v>
      </c>
      <c r="D9" s="72" t="n"/>
    </row>
    <row r="10">
      <c r="A10" s="74" t="inlineStr">
        <is>
          <t>Implied Market Capitalization ($M)</t>
        </is>
      </c>
      <c r="B10" s="70" t="n"/>
      <c r="C10" s="75">
        <f>C8*C9</f>
        <v/>
      </c>
      <c r="D10" s="72" t="n"/>
    </row>
    <row r="11">
      <c r="A11" s="69" t="inlineStr">
        <is>
          <t>Total Debt &amp; Financing Lease Liabilities ($M)</t>
        </is>
      </c>
      <c r="B11" s="70" t="n"/>
      <c r="C11" s="76" t="n">
        <v>38430</v>
      </c>
      <c r="D11" s="72" t="n"/>
    </row>
    <row r="12">
      <c r="A12" s="69" t="inlineStr">
        <is>
          <t>Cash, Equivalents &amp; Short-Term Investments ($M)</t>
        </is>
      </c>
      <c r="B12" s="70" t="n"/>
      <c r="C12" s="76" t="n">
        <v>93520</v>
      </c>
      <c r="D12" s="72" t="n"/>
    </row>
    <row r="13">
      <c r="A13" s="74" t="inlineStr">
        <is>
          <t>Net Debt / (Net Cash Position) ($M)</t>
        </is>
      </c>
      <c r="B13" s="70" t="n"/>
      <c r="C13" s="77">
        <f>C11-C12</f>
        <v/>
      </c>
      <c r="D13" s="72" t="n"/>
    </row>
    <row r="14">
      <c r="A14" s="65" t="inlineStr">
        <is>
          <t>Enterprise Value (Market EV) ($M)</t>
        </is>
      </c>
      <c r="B14" s="78" t="n"/>
      <c r="C14" s="79">
        <f>C10+C13</f>
        <v/>
      </c>
      <c r="D14" s="80" t="n"/>
    </row>
    <row r="16">
      <c r="A16" s="62" t="inlineStr">
        <is>
          <t>SCENARIO 1: BEAR CASE ASSUMPTIONS (CONSERVATIVE ADOPTION)</t>
        </is>
      </c>
      <c r="B16" s="63" t="n"/>
      <c r="C16" s="63" t="n"/>
      <c r="D16" s="63" t="n"/>
      <c r="E16" s="63" t="n"/>
      <c r="F16" s="63" t="n"/>
      <c r="G16" s="63" t="n"/>
      <c r="H16" s="63" t="n"/>
      <c r="I16" s="63" t="n"/>
      <c r="J16" s="63" t="n"/>
      <c r="K16" s="64" t="n"/>
    </row>
    <row r="17">
      <c r="A17" s="81" t="inlineStr">
        <is>
          <t>Key DCF Driver / Assumption</t>
        </is>
      </c>
      <c r="B17" s="70" t="n"/>
      <c r="C17" s="70" t="n"/>
      <c r="D17" s="70" t="n"/>
      <c r="E17" s="70" t="n"/>
      <c r="F17" s="82" t="inlineStr">
        <is>
          <t>FY2026E</t>
        </is>
      </c>
      <c r="G17" s="82" t="inlineStr">
        <is>
          <t>FY2027E</t>
        </is>
      </c>
      <c r="H17" s="82" t="inlineStr">
        <is>
          <t>FY2028E</t>
        </is>
      </c>
      <c r="I17" s="82" t="inlineStr">
        <is>
          <t>FY2029E</t>
        </is>
      </c>
      <c r="J17" s="82" t="inlineStr">
        <is>
          <t>FY2030E</t>
        </is>
      </c>
      <c r="K17" s="83" t="inlineStr">
        <is>
          <t>Terminal</t>
        </is>
      </c>
    </row>
    <row r="18">
      <c r="A18" s="69" t="inlineStr">
        <is>
          <t>Revenue YoY Growth (%)</t>
        </is>
      </c>
      <c r="B18" s="70" t="n"/>
      <c r="C18" s="70" t="n"/>
      <c r="D18" s="70" t="n"/>
      <c r="E18" s="70" t="n"/>
      <c r="F18" s="84" t="n">
        <v>1</v>
      </c>
      <c r="G18" s="84" t="n">
        <v>0.8</v>
      </c>
      <c r="H18" s="84" t="n">
        <v>0.5</v>
      </c>
      <c r="I18" s="84" t="n">
        <v>0.45</v>
      </c>
      <c r="J18" s="84" t="n">
        <v>0.35</v>
      </c>
      <c r="K18" s="85" t="inlineStr">
        <is>
          <t>-</t>
        </is>
      </c>
    </row>
    <row r="19">
      <c r="A19" s="69" t="inlineStr">
        <is>
          <t>Gross Profit Margin (%)</t>
        </is>
      </c>
      <c r="B19" s="70" t="n"/>
      <c r="C19" s="70" t="n"/>
      <c r="D19" s="70" t="n"/>
      <c r="E19" s="70" t="n"/>
      <c r="F19" s="84" t="n">
        <v>0.36</v>
      </c>
      <c r="G19" s="84" t="n">
        <v>0.38</v>
      </c>
      <c r="H19" s="84" t="n">
        <v>0.4</v>
      </c>
      <c r="I19" s="84" t="n">
        <v>0.42</v>
      </c>
      <c r="J19" s="84" t="n">
        <v>0.44</v>
      </c>
      <c r="K19" s="85" t="inlineStr">
        <is>
          <t>-</t>
        </is>
      </c>
    </row>
    <row r="20">
      <c r="A20" s="69" t="inlineStr">
        <is>
          <t>R&amp;D Expense (% of Revenue)</t>
        </is>
      </c>
      <c r="B20" s="70" t="n"/>
      <c r="C20" s="70" t="n"/>
      <c r="D20" s="70" t="n"/>
      <c r="E20" s="70" t="n"/>
      <c r="F20" s="84" t="n">
        <v>0.25</v>
      </c>
      <c r="G20" s="84" t="n">
        <v>0.2</v>
      </c>
      <c r="H20" s="84" t="n">
        <v>0.16</v>
      </c>
      <c r="I20" s="84" t="n">
        <v>0.14</v>
      </c>
      <c r="J20" s="84" t="n">
        <v>0.12</v>
      </c>
      <c r="K20" s="85" t="inlineStr">
        <is>
          <t>-</t>
        </is>
      </c>
    </row>
    <row r="21">
      <c r="A21" s="69" t="inlineStr">
        <is>
          <t>SG&amp;A Expense (% of Revenue)</t>
        </is>
      </c>
      <c r="B21" s="70" t="n"/>
      <c r="C21" s="70" t="n"/>
      <c r="D21" s="70" t="n"/>
      <c r="E21" s="70" t="n"/>
      <c r="F21" s="84" t="n">
        <v>0.2</v>
      </c>
      <c r="G21" s="84" t="n">
        <v>0.17</v>
      </c>
      <c r="H21" s="84" t="n">
        <v>0.15</v>
      </c>
      <c r="I21" s="84" t="n">
        <v>0.14</v>
      </c>
      <c r="J21" s="84" t="n">
        <v>0.14</v>
      </c>
      <c r="K21" s="85" t="inlineStr">
        <is>
          <t>-</t>
        </is>
      </c>
    </row>
    <row r="22">
      <c r="A22" s="69" t="inlineStr">
        <is>
          <t>Operating Margin (EBIT %) Target</t>
        </is>
      </c>
      <c r="B22" s="70" t="n"/>
      <c r="C22" s="70" t="n"/>
      <c r="D22" s="70" t="n"/>
      <c r="E22" s="70" t="n"/>
      <c r="F22" s="84" t="n">
        <v>-0.09</v>
      </c>
      <c r="G22" s="84" t="n">
        <v>0.01</v>
      </c>
      <c r="H22" s="84" t="n">
        <v>0.09</v>
      </c>
      <c r="I22" s="84" t="n">
        <v>0.14</v>
      </c>
      <c r="J22" s="84" t="n">
        <v>0.18</v>
      </c>
      <c r="K22" s="85" t="inlineStr">
        <is>
          <t>-</t>
        </is>
      </c>
    </row>
    <row r="23">
      <c r="A23" s="69" t="inlineStr">
        <is>
          <t>Effective Tax Rate (%)</t>
        </is>
      </c>
      <c r="B23" s="70" t="n"/>
      <c r="C23" s="70" t="n"/>
      <c r="D23" s="70" t="n"/>
      <c r="E23" s="70" t="n"/>
      <c r="F23" s="84" t="n">
        <v>0.21</v>
      </c>
      <c r="G23" s="84" t="n">
        <v>0.21</v>
      </c>
      <c r="H23" s="84" t="n">
        <v>0.21</v>
      </c>
      <c r="I23" s="84" t="n">
        <v>0.21</v>
      </c>
      <c r="J23" s="84" t="n">
        <v>0.21</v>
      </c>
      <c r="K23" s="85" t="inlineStr">
        <is>
          <t>-</t>
        </is>
      </c>
    </row>
    <row r="24">
      <c r="A24" s="69" t="inlineStr">
        <is>
          <t>Depreciation &amp; Amortization (% of Rev)</t>
        </is>
      </c>
      <c r="B24" s="70" t="n"/>
      <c r="C24" s="70" t="n"/>
      <c r="D24" s="70" t="n"/>
      <c r="E24" s="70" t="n"/>
      <c r="F24" s="84" t="n">
        <v>0.18</v>
      </c>
      <c r="G24" s="84" t="n">
        <v>0.14</v>
      </c>
      <c r="H24" s="84" t="n">
        <v>0.11</v>
      </c>
      <c r="I24" s="84" t="n">
        <v>0.09</v>
      </c>
      <c r="J24" s="84" t="n">
        <v>0.08</v>
      </c>
      <c r="K24" s="85" t="inlineStr">
        <is>
          <t>-</t>
        </is>
      </c>
    </row>
    <row r="25">
      <c r="A25" s="69" t="inlineStr">
        <is>
          <t>Capital Expenditures (% of Rev)</t>
        </is>
      </c>
      <c r="B25" s="70" t="n"/>
      <c r="C25" s="70" t="n"/>
      <c r="D25" s="70" t="n"/>
      <c r="E25" s="70" t="n"/>
      <c r="F25" s="84" t="n">
        <v>0.25</v>
      </c>
      <c r="G25" s="84" t="n">
        <v>0.2</v>
      </c>
      <c r="H25" s="84" t="n">
        <v>0.16</v>
      </c>
      <c r="I25" s="84" t="n">
        <v>0.13</v>
      </c>
      <c r="J25" s="84" t="n">
        <v>0.11</v>
      </c>
      <c r="K25" s="85" t="inlineStr">
        <is>
          <t>-</t>
        </is>
      </c>
    </row>
    <row r="26">
      <c r="A26" s="69" t="inlineStr">
        <is>
          <t>Change in NWC (% of Δ Revenue)</t>
        </is>
      </c>
      <c r="B26" s="70" t="n"/>
      <c r="C26" s="70" t="n"/>
      <c r="D26" s="70" t="n"/>
      <c r="E26" s="70" t="n"/>
      <c r="F26" s="84" t="n">
        <v>0.015</v>
      </c>
      <c r="G26" s="84" t="n">
        <v>0.015</v>
      </c>
      <c r="H26" s="84" t="n">
        <v>0.015</v>
      </c>
      <c r="I26" s="84" t="n">
        <v>0.015</v>
      </c>
      <c r="J26" s="84" t="n">
        <v>0.015</v>
      </c>
      <c r="K26" s="85" t="inlineStr">
        <is>
          <t>-</t>
        </is>
      </c>
    </row>
    <row r="27">
      <c r="A27" s="69" t="inlineStr">
        <is>
          <t>Terminal Perpetuity Growth Rate (g)</t>
        </is>
      </c>
      <c r="B27" s="70" t="n"/>
      <c r="C27" s="70" t="n"/>
      <c r="D27" s="70" t="n"/>
      <c r="E27" s="70" t="n"/>
      <c r="F27" s="86" t="inlineStr">
        <is>
          <t>-</t>
        </is>
      </c>
      <c r="G27" s="86" t="inlineStr">
        <is>
          <t>-</t>
        </is>
      </c>
      <c r="H27" s="86" t="inlineStr">
        <is>
          <t>-</t>
        </is>
      </c>
      <c r="I27" s="86" t="inlineStr">
        <is>
          <t>-</t>
        </is>
      </c>
      <c r="J27" s="86" t="inlineStr">
        <is>
          <t>-</t>
        </is>
      </c>
      <c r="K27" s="87" t="n">
        <v>0.025</v>
      </c>
    </row>
    <row r="28">
      <c r="A28" s="88" t="inlineStr">
        <is>
          <t>Discount Rate (WACC)</t>
        </is>
      </c>
      <c r="B28" s="78" t="n"/>
      <c r="C28" s="78" t="n"/>
      <c r="D28" s="78" t="n"/>
      <c r="E28" s="78" t="n"/>
      <c r="F28" s="89" t="n">
        <v>0.115</v>
      </c>
      <c r="G28" s="89" t="n">
        <v>0.115</v>
      </c>
      <c r="H28" s="89" t="n">
        <v>0.115</v>
      </c>
      <c r="I28" s="89" t="n">
        <v>0.115</v>
      </c>
      <c r="J28" s="89" t="n">
        <v>0.115</v>
      </c>
      <c r="K28" s="90" t="n">
        <v>0.115</v>
      </c>
    </row>
    <row r="30">
      <c r="A30" s="62" t="inlineStr">
        <is>
          <t>SCENARIO 2: BASE CASE ASSUMPTIONS (CONSENSUS &amp; MANAGEMENT ROADMAP)</t>
        </is>
      </c>
      <c r="B30" s="63" t="n"/>
      <c r="C30" s="63" t="n"/>
      <c r="D30" s="63" t="n"/>
      <c r="E30" s="63" t="n"/>
      <c r="F30" s="63" t="n"/>
      <c r="G30" s="63" t="n"/>
      <c r="H30" s="63" t="n"/>
      <c r="I30" s="63" t="n"/>
      <c r="J30" s="63" t="n"/>
      <c r="K30" s="64" t="n"/>
    </row>
    <row r="31">
      <c r="A31" s="81" t="inlineStr">
        <is>
          <t>Key DCF Driver / Assumption</t>
        </is>
      </c>
      <c r="B31" s="70" t="n"/>
      <c r="C31" s="70" t="n"/>
      <c r="D31" s="70" t="n"/>
      <c r="E31" s="70" t="n"/>
      <c r="F31" s="82" t="inlineStr">
        <is>
          <t>FY2026E</t>
        </is>
      </c>
      <c r="G31" s="82" t="inlineStr">
        <is>
          <t>FY2027E</t>
        </is>
      </c>
      <c r="H31" s="82" t="inlineStr">
        <is>
          <t>FY2028E</t>
        </is>
      </c>
      <c r="I31" s="82" t="inlineStr">
        <is>
          <t>FY2029E</t>
        </is>
      </c>
      <c r="J31" s="82" t="inlineStr">
        <is>
          <t>FY2030E</t>
        </is>
      </c>
      <c r="K31" s="83" t="inlineStr">
        <is>
          <t>Terminal</t>
        </is>
      </c>
    </row>
    <row r="32">
      <c r="A32" s="69" t="inlineStr">
        <is>
          <t>Revenue YoY Growth (%)</t>
        </is>
      </c>
      <c r="B32" s="70" t="n"/>
      <c r="C32" s="70" t="n"/>
      <c r="D32" s="70" t="n"/>
      <c r="E32" s="70" t="n"/>
      <c r="F32" s="84" t="n">
        <v>1.383</v>
      </c>
      <c r="G32" s="84" t="n">
        <v>1.247</v>
      </c>
      <c r="H32" s="84" t="n">
        <v>0.6</v>
      </c>
      <c r="I32" s="84" t="n">
        <v>0.438</v>
      </c>
      <c r="J32" s="84" t="n">
        <v>0.348</v>
      </c>
      <c r="K32" s="85" t="inlineStr">
        <is>
          <t>-</t>
        </is>
      </c>
    </row>
    <row r="33">
      <c r="A33" s="69" t="inlineStr">
        <is>
          <t>Gross Profit Margin (%)</t>
        </is>
      </c>
      <c r="B33" s="70" t="n"/>
      <c r="C33" s="70" t="n"/>
      <c r="D33" s="70" t="n"/>
      <c r="E33" s="70" t="n"/>
      <c r="F33" s="84" t="n">
        <v>0.38</v>
      </c>
      <c r="G33" s="84" t="n">
        <v>0.42</v>
      </c>
      <c r="H33" s="84" t="n">
        <v>0.46</v>
      </c>
      <c r="I33" s="84" t="n">
        <v>0.49</v>
      </c>
      <c r="J33" s="84" t="n">
        <v>0.52</v>
      </c>
      <c r="K33" s="85" t="inlineStr">
        <is>
          <t>-</t>
        </is>
      </c>
    </row>
    <row r="34">
      <c r="A34" s="69" t="inlineStr">
        <is>
          <t>R&amp;D Expense (% of Revenue)</t>
        </is>
      </c>
      <c r="B34" s="70" t="n"/>
      <c r="C34" s="70" t="n"/>
      <c r="D34" s="70" t="n"/>
      <c r="E34" s="70" t="n"/>
      <c r="F34" s="84" t="n">
        <v>0.24</v>
      </c>
      <c r="G34" s="84" t="n">
        <v>0.18</v>
      </c>
      <c r="H34" s="84" t="n">
        <v>0.14</v>
      </c>
      <c r="I34" s="84" t="n">
        <v>0.12</v>
      </c>
      <c r="J34" s="84" t="n">
        <v>0.1</v>
      </c>
      <c r="K34" s="85" t="inlineStr">
        <is>
          <t>-</t>
        </is>
      </c>
    </row>
    <row r="35">
      <c r="A35" s="69" t="inlineStr">
        <is>
          <t>SG&amp;A Expense (% of Revenue)</t>
        </is>
      </c>
      <c r="B35" s="70" t="n"/>
      <c r="C35" s="70" t="n"/>
      <c r="D35" s="70" t="n"/>
      <c r="E35" s="70" t="n"/>
      <c r="F35" s="84" t="n">
        <v>0.19</v>
      </c>
      <c r="G35" s="84" t="n">
        <v>0.15</v>
      </c>
      <c r="H35" s="84" t="n">
        <v>0.13</v>
      </c>
      <c r="I35" s="84" t="n">
        <v>0.12</v>
      </c>
      <c r="J35" s="84" t="n">
        <v>0.12</v>
      </c>
      <c r="K35" s="85" t="inlineStr">
        <is>
          <t>-</t>
        </is>
      </c>
    </row>
    <row r="36">
      <c r="A36" s="69" t="inlineStr">
        <is>
          <t>Operating Margin (EBIT %) Target</t>
        </is>
      </c>
      <c r="B36" s="70" t="n"/>
      <c r="C36" s="70" t="n"/>
      <c r="D36" s="70" t="n"/>
      <c r="E36" s="70" t="n"/>
      <c r="F36" s="84" t="n">
        <v>-0.05</v>
      </c>
      <c r="G36" s="84" t="n">
        <v>0.09</v>
      </c>
      <c r="H36" s="84" t="n">
        <v>0.19</v>
      </c>
      <c r="I36" s="84" t="n">
        <v>0.25</v>
      </c>
      <c r="J36" s="84" t="n">
        <v>0.3</v>
      </c>
      <c r="K36" s="85" t="inlineStr">
        <is>
          <t>-</t>
        </is>
      </c>
    </row>
    <row r="37">
      <c r="A37" s="69" t="inlineStr">
        <is>
          <t>Effective Tax Rate (%)</t>
        </is>
      </c>
      <c r="B37" s="70" t="n"/>
      <c r="C37" s="70" t="n"/>
      <c r="D37" s="70" t="n"/>
      <c r="E37" s="70" t="n"/>
      <c r="F37" s="84" t="n">
        <v>0.21</v>
      </c>
      <c r="G37" s="84" t="n">
        <v>0.21</v>
      </c>
      <c r="H37" s="84" t="n">
        <v>0.21</v>
      </c>
      <c r="I37" s="84" t="n">
        <v>0.21</v>
      </c>
      <c r="J37" s="84" t="n">
        <v>0.21</v>
      </c>
      <c r="K37" s="85" t="inlineStr">
        <is>
          <t>-</t>
        </is>
      </c>
    </row>
    <row r="38">
      <c r="A38" s="69" t="inlineStr">
        <is>
          <t>Depreciation &amp; Amortization (% of Rev)</t>
        </is>
      </c>
      <c r="B38" s="70" t="n"/>
      <c r="C38" s="70" t="n"/>
      <c r="D38" s="70" t="n"/>
      <c r="E38" s="70" t="n"/>
      <c r="F38" s="84" t="n">
        <v>0.18</v>
      </c>
      <c r="G38" s="84" t="n">
        <v>0.14</v>
      </c>
      <c r="H38" s="84" t="n">
        <v>0.11</v>
      </c>
      <c r="I38" s="84" t="n">
        <v>0.09</v>
      </c>
      <c r="J38" s="84" t="n">
        <v>0.08</v>
      </c>
      <c r="K38" s="85" t="inlineStr">
        <is>
          <t>-</t>
        </is>
      </c>
    </row>
    <row r="39">
      <c r="A39" s="69" t="inlineStr">
        <is>
          <t>Capital Expenditures (% of Rev)</t>
        </is>
      </c>
      <c r="B39" s="70" t="n"/>
      <c r="C39" s="70" t="n"/>
      <c r="D39" s="70" t="n"/>
      <c r="E39" s="70" t="n"/>
      <c r="F39" s="84" t="n">
        <v>0.25</v>
      </c>
      <c r="G39" s="84" t="n">
        <v>0.18</v>
      </c>
      <c r="H39" s="84" t="n">
        <v>0.14</v>
      </c>
      <c r="I39" s="84" t="n">
        <v>0.11</v>
      </c>
      <c r="J39" s="84" t="n">
        <v>0.09</v>
      </c>
      <c r="K39" s="85" t="inlineStr">
        <is>
          <t>-</t>
        </is>
      </c>
    </row>
    <row r="40">
      <c r="A40" s="69" t="inlineStr">
        <is>
          <t>Change in NWC (% of Δ Revenue)</t>
        </is>
      </c>
      <c r="B40" s="70" t="n"/>
      <c r="C40" s="70" t="n"/>
      <c r="D40" s="70" t="n"/>
      <c r="E40" s="70" t="n"/>
      <c r="F40" s="84" t="n">
        <v>0.015</v>
      </c>
      <c r="G40" s="84" t="n">
        <v>0.015</v>
      </c>
      <c r="H40" s="84" t="n">
        <v>0.015</v>
      </c>
      <c r="I40" s="84" t="n">
        <v>0.015</v>
      </c>
      <c r="J40" s="84" t="n">
        <v>0.015</v>
      </c>
      <c r="K40" s="85" t="inlineStr">
        <is>
          <t>-</t>
        </is>
      </c>
    </row>
    <row r="41">
      <c r="A41" s="69" t="inlineStr">
        <is>
          <t>Terminal Perpetuity Growth Rate (g)</t>
        </is>
      </c>
      <c r="B41" s="70" t="n"/>
      <c r="C41" s="70" t="n"/>
      <c r="D41" s="70" t="n"/>
      <c r="E41" s="70" t="n"/>
      <c r="F41" s="86" t="inlineStr">
        <is>
          <t>-</t>
        </is>
      </c>
      <c r="G41" s="86" t="inlineStr">
        <is>
          <t>-</t>
        </is>
      </c>
      <c r="H41" s="86" t="inlineStr">
        <is>
          <t>-</t>
        </is>
      </c>
      <c r="I41" s="86" t="inlineStr">
        <is>
          <t>-</t>
        </is>
      </c>
      <c r="J41" s="86" t="inlineStr">
        <is>
          <t>-</t>
        </is>
      </c>
      <c r="K41" s="87" t="n">
        <v>0.03</v>
      </c>
    </row>
    <row r="42">
      <c r="A42" s="88" t="inlineStr">
        <is>
          <t>Discount Rate (WACC)</t>
        </is>
      </c>
      <c r="B42" s="78" t="n"/>
      <c r="C42" s="78" t="n"/>
      <c r="D42" s="78" t="n"/>
      <c r="E42" s="78" t="n"/>
      <c r="F42" s="91">
        <f>WACC!$B$21</f>
        <v/>
      </c>
      <c r="G42" s="91">
        <f>WACC!$B$21</f>
        <v/>
      </c>
      <c r="H42" s="91">
        <f>WACC!$B$21</f>
        <v/>
      </c>
      <c r="I42" s="91">
        <f>WACC!$B$21</f>
        <v/>
      </c>
      <c r="J42" s="91">
        <f>WACC!$B$21</f>
        <v/>
      </c>
      <c r="K42" s="92">
        <f>WACC!$B$21</f>
        <v/>
      </c>
    </row>
    <row r="44">
      <c r="A44" s="62" t="inlineStr">
        <is>
          <t>SCENARIO 3: BULL CASE ASSUMPTIONS (STARSHIP COMMERCIAL SCALE &amp; AI SURGE)</t>
        </is>
      </c>
      <c r="B44" s="63" t="n"/>
      <c r="C44" s="63" t="n"/>
      <c r="D44" s="63" t="n"/>
      <c r="E44" s="63" t="n"/>
      <c r="F44" s="63" t="n"/>
      <c r="G44" s="63" t="n"/>
      <c r="H44" s="63" t="n"/>
      <c r="I44" s="63" t="n"/>
      <c r="J44" s="63" t="n"/>
      <c r="K44" s="64" t="n"/>
    </row>
    <row r="45">
      <c r="A45" s="81" t="inlineStr">
        <is>
          <t>Key DCF Driver / Assumption</t>
        </is>
      </c>
      <c r="B45" s="70" t="n"/>
      <c r="C45" s="70" t="n"/>
      <c r="D45" s="70" t="n"/>
      <c r="E45" s="70" t="n"/>
      <c r="F45" s="82" t="inlineStr">
        <is>
          <t>FY2026E</t>
        </is>
      </c>
      <c r="G45" s="82" t="inlineStr">
        <is>
          <t>FY2027E</t>
        </is>
      </c>
      <c r="H45" s="82" t="inlineStr">
        <is>
          <t>FY2028E</t>
        </is>
      </c>
      <c r="I45" s="82" t="inlineStr">
        <is>
          <t>FY2029E</t>
        </is>
      </c>
      <c r="J45" s="82" t="inlineStr">
        <is>
          <t>FY2030E</t>
        </is>
      </c>
      <c r="K45" s="83" t="inlineStr">
        <is>
          <t>Terminal</t>
        </is>
      </c>
    </row>
    <row r="46">
      <c r="A46" s="69" t="inlineStr">
        <is>
          <t>Revenue YoY Growth (%)</t>
        </is>
      </c>
      <c r="B46" s="70" t="n"/>
      <c r="C46" s="70" t="n"/>
      <c r="D46" s="70" t="n"/>
      <c r="E46" s="70" t="n"/>
      <c r="F46" s="84" t="n">
        <v>1.6</v>
      </c>
      <c r="G46" s="84" t="n">
        <v>1.45</v>
      </c>
      <c r="H46" s="84" t="n">
        <v>0.75</v>
      </c>
      <c r="I46" s="84" t="n">
        <v>0.5</v>
      </c>
      <c r="J46" s="84" t="n">
        <v>0.4</v>
      </c>
      <c r="K46" s="85" t="inlineStr">
        <is>
          <t>-</t>
        </is>
      </c>
    </row>
    <row r="47">
      <c r="A47" s="69" t="inlineStr">
        <is>
          <t>Gross Profit Margin (%)</t>
        </is>
      </c>
      <c r="B47" s="70" t="n"/>
      <c r="C47" s="70" t="n"/>
      <c r="D47" s="70" t="n"/>
      <c r="E47" s="70" t="n"/>
      <c r="F47" s="84" t="n">
        <v>0.42</v>
      </c>
      <c r="G47" s="84" t="n">
        <v>0.46</v>
      </c>
      <c r="H47" s="84" t="n">
        <v>0.5</v>
      </c>
      <c r="I47" s="84" t="n">
        <v>0.53</v>
      </c>
      <c r="J47" s="84" t="n">
        <v>0.55</v>
      </c>
      <c r="K47" s="85" t="inlineStr">
        <is>
          <t>-</t>
        </is>
      </c>
    </row>
    <row r="48">
      <c r="A48" s="69" t="inlineStr">
        <is>
          <t>R&amp;D Expense (% of Revenue)</t>
        </is>
      </c>
      <c r="B48" s="70" t="n"/>
      <c r="C48" s="70" t="n"/>
      <c r="D48" s="70" t="n"/>
      <c r="E48" s="70" t="n"/>
      <c r="F48" s="84" t="n">
        <v>0.22</v>
      </c>
      <c r="G48" s="84" t="n">
        <v>0.16</v>
      </c>
      <c r="H48" s="84" t="n">
        <v>0.12</v>
      </c>
      <c r="I48" s="84" t="n">
        <v>0.1</v>
      </c>
      <c r="J48" s="84" t="n">
        <v>0.09</v>
      </c>
      <c r="K48" s="85" t="inlineStr">
        <is>
          <t>-</t>
        </is>
      </c>
    </row>
    <row r="49">
      <c r="A49" s="69" t="inlineStr">
        <is>
          <t>SG&amp;A Expense (% of Revenue)</t>
        </is>
      </c>
      <c r="B49" s="70" t="n"/>
      <c r="C49" s="70" t="n"/>
      <c r="D49" s="70" t="n"/>
      <c r="E49" s="70" t="n"/>
      <c r="F49" s="84" t="n">
        <v>0.18</v>
      </c>
      <c r="G49" s="84" t="n">
        <v>0.14</v>
      </c>
      <c r="H49" s="84" t="n">
        <v>0.12</v>
      </c>
      <c r="I49" s="84" t="n">
        <v>0.11</v>
      </c>
      <c r="J49" s="84" t="n">
        <v>0.11</v>
      </c>
      <c r="K49" s="85" t="inlineStr">
        <is>
          <t>-</t>
        </is>
      </c>
    </row>
    <row r="50">
      <c r="A50" s="69" t="inlineStr">
        <is>
          <t>Operating Margin (EBIT %) Target</t>
        </is>
      </c>
      <c r="B50" s="70" t="n"/>
      <c r="C50" s="70" t="n"/>
      <c r="D50" s="70" t="n"/>
      <c r="E50" s="70" t="n"/>
      <c r="F50" s="84" t="n">
        <v>0.02</v>
      </c>
      <c r="G50" s="84" t="n">
        <v>0.16</v>
      </c>
      <c r="H50" s="84" t="n">
        <v>0.26</v>
      </c>
      <c r="I50" s="84" t="n">
        <v>0.32</v>
      </c>
      <c r="J50" s="84" t="n">
        <v>0.35</v>
      </c>
      <c r="K50" s="85" t="inlineStr">
        <is>
          <t>-</t>
        </is>
      </c>
    </row>
    <row r="51">
      <c r="A51" s="69" t="inlineStr">
        <is>
          <t>Effective Tax Rate (%)</t>
        </is>
      </c>
      <c r="B51" s="70" t="n"/>
      <c r="C51" s="70" t="n"/>
      <c r="D51" s="70" t="n"/>
      <c r="E51" s="70" t="n"/>
      <c r="F51" s="84" t="n">
        <v>0.21</v>
      </c>
      <c r="G51" s="84" t="n">
        <v>0.21</v>
      </c>
      <c r="H51" s="84" t="n">
        <v>0.21</v>
      </c>
      <c r="I51" s="84" t="n">
        <v>0.21</v>
      </c>
      <c r="J51" s="84" t="n">
        <v>0.21</v>
      </c>
      <c r="K51" s="85" t="inlineStr">
        <is>
          <t>-</t>
        </is>
      </c>
    </row>
    <row r="52">
      <c r="A52" s="69" t="inlineStr">
        <is>
          <t>Depreciation &amp; Amortization (% of Rev)</t>
        </is>
      </c>
      <c r="B52" s="70" t="n"/>
      <c r="C52" s="70" t="n"/>
      <c r="D52" s="70" t="n"/>
      <c r="E52" s="70" t="n"/>
      <c r="F52" s="84" t="n">
        <v>0.18</v>
      </c>
      <c r="G52" s="84" t="n">
        <v>0.14</v>
      </c>
      <c r="H52" s="84" t="n">
        <v>0.11</v>
      </c>
      <c r="I52" s="84" t="n">
        <v>0.09</v>
      </c>
      <c r="J52" s="84" t="n">
        <v>0.08</v>
      </c>
      <c r="K52" s="85" t="inlineStr">
        <is>
          <t>-</t>
        </is>
      </c>
    </row>
    <row r="53">
      <c r="A53" s="69" t="inlineStr">
        <is>
          <t>Capital Expenditures (% of Rev)</t>
        </is>
      </c>
      <c r="B53" s="70" t="n"/>
      <c r="C53" s="70" t="n"/>
      <c r="D53" s="70" t="n"/>
      <c r="E53" s="70" t="n"/>
      <c r="F53" s="84" t="n">
        <v>0.24</v>
      </c>
      <c r="G53" s="84" t="n">
        <v>0.16</v>
      </c>
      <c r="H53" s="84" t="n">
        <v>0.12</v>
      </c>
      <c r="I53" s="84" t="n">
        <v>0.1</v>
      </c>
      <c r="J53" s="84" t="n">
        <v>0.08</v>
      </c>
      <c r="K53" s="85" t="inlineStr">
        <is>
          <t>-</t>
        </is>
      </c>
    </row>
    <row r="54">
      <c r="A54" s="69" t="inlineStr">
        <is>
          <t>Change in NWC (% of Δ Revenue)</t>
        </is>
      </c>
      <c r="B54" s="70" t="n"/>
      <c r="C54" s="70" t="n"/>
      <c r="D54" s="70" t="n"/>
      <c r="E54" s="70" t="n"/>
      <c r="F54" s="84" t="n">
        <v>0.015</v>
      </c>
      <c r="G54" s="84" t="n">
        <v>0.015</v>
      </c>
      <c r="H54" s="84" t="n">
        <v>0.015</v>
      </c>
      <c r="I54" s="84" t="n">
        <v>0.015</v>
      </c>
      <c r="J54" s="84" t="n">
        <v>0.015</v>
      </c>
      <c r="K54" s="85" t="inlineStr">
        <is>
          <t>-</t>
        </is>
      </c>
    </row>
    <row r="55">
      <c r="A55" s="69" t="inlineStr">
        <is>
          <t>Terminal Perpetuity Growth Rate (g)</t>
        </is>
      </c>
      <c r="B55" s="70" t="n"/>
      <c r="C55" s="70" t="n"/>
      <c r="D55" s="70" t="n"/>
      <c r="E55" s="70" t="n"/>
      <c r="F55" s="86" t="inlineStr">
        <is>
          <t>-</t>
        </is>
      </c>
      <c r="G55" s="86" t="inlineStr">
        <is>
          <t>-</t>
        </is>
      </c>
      <c r="H55" s="86" t="inlineStr">
        <is>
          <t>-</t>
        </is>
      </c>
      <c r="I55" s="86" t="inlineStr">
        <is>
          <t>-</t>
        </is>
      </c>
      <c r="J55" s="86" t="inlineStr">
        <is>
          <t>-</t>
        </is>
      </c>
      <c r="K55" s="87" t="n">
        <v>0.035</v>
      </c>
    </row>
    <row r="56">
      <c r="A56" s="88" t="inlineStr">
        <is>
          <t>Discount Rate (WACC)</t>
        </is>
      </c>
      <c r="B56" s="78" t="n"/>
      <c r="C56" s="78" t="n"/>
      <c r="D56" s="78" t="n"/>
      <c r="E56" s="78" t="n"/>
      <c r="F56" s="89" t="n">
        <v>0.095</v>
      </c>
      <c r="G56" s="89" t="n">
        <v>0.095</v>
      </c>
      <c r="H56" s="89" t="n">
        <v>0.095</v>
      </c>
      <c r="I56" s="89" t="n">
        <v>0.095</v>
      </c>
      <c r="J56" s="89" t="n">
        <v>0.095</v>
      </c>
      <c r="K56" s="90" t="n">
        <v>0.095</v>
      </c>
    </row>
    <row r="58">
      <c r="A58" s="62" t="inlineStr">
        <is>
          <t>ACTIVE SCENARIO CONSOLIDATED ASSUMPTIONS (DYNAMIC MODEL DRIVERS)</t>
        </is>
      </c>
      <c r="B58" s="63" t="n"/>
      <c r="C58" s="63" t="n"/>
      <c r="D58" s="63" t="n"/>
      <c r="E58" s="63" t="n"/>
      <c r="F58" s="63" t="n"/>
      <c r="G58" s="63" t="n"/>
      <c r="H58" s="63" t="n"/>
      <c r="I58" s="63" t="n"/>
      <c r="J58" s="63" t="n"/>
      <c r="K58" s="64" t="n"/>
    </row>
    <row r="59">
      <c r="A59" s="81" t="inlineStr">
        <is>
          <t>Active DCF Driver</t>
        </is>
      </c>
      <c r="B59" s="70" t="n"/>
      <c r="C59" s="70" t="n"/>
      <c r="D59" s="70" t="n"/>
      <c r="E59" s="70" t="n"/>
      <c r="F59" s="82" t="inlineStr">
        <is>
          <t>FY2026E</t>
        </is>
      </c>
      <c r="G59" s="82" t="inlineStr">
        <is>
          <t>FY2027E</t>
        </is>
      </c>
      <c r="H59" s="82" t="inlineStr">
        <is>
          <t>FY2028E</t>
        </is>
      </c>
      <c r="I59" s="82" t="inlineStr">
        <is>
          <t>FY2029E</t>
        </is>
      </c>
      <c r="J59" s="82" t="inlineStr">
        <is>
          <t>FY2030E</t>
        </is>
      </c>
      <c r="K59" s="83" t="inlineStr">
        <is>
          <t>Terminal</t>
        </is>
      </c>
    </row>
    <row r="60">
      <c r="A60" s="74" t="inlineStr">
        <is>
          <t>Revenue YoY Growth (%)</t>
        </is>
      </c>
      <c r="B60" s="70" t="n"/>
      <c r="C60" s="70" t="n"/>
      <c r="D60" s="70" t="n"/>
      <c r="E60" s="70" t="n"/>
      <c r="F60" s="93">
        <f>CHOOSE($B$5, F18, F32, F46)</f>
        <v/>
      </c>
      <c r="G60" s="93">
        <f>CHOOSE($B$5, G18, G32, G46)</f>
        <v/>
      </c>
      <c r="H60" s="93">
        <f>CHOOSE($B$5, H18, H32, H46)</f>
        <v/>
      </c>
      <c r="I60" s="93">
        <f>CHOOSE($B$5, I18, I32, I46)</f>
        <v/>
      </c>
      <c r="J60" s="93">
        <f>CHOOSE($B$5, J18, J32, J46)</f>
        <v/>
      </c>
      <c r="K60" s="72" t="n"/>
    </row>
    <row r="61">
      <c r="A61" s="74" t="inlineStr">
        <is>
          <t>Gross Profit Margin (%)</t>
        </is>
      </c>
      <c r="B61" s="70" t="n"/>
      <c r="C61" s="70" t="n"/>
      <c r="D61" s="70" t="n"/>
      <c r="E61" s="70" t="n"/>
      <c r="F61" s="93">
        <f>CHOOSE($B$5, F19, F33, F47)</f>
        <v/>
      </c>
      <c r="G61" s="93">
        <f>CHOOSE($B$5, G19, G33, G47)</f>
        <v/>
      </c>
      <c r="H61" s="93">
        <f>CHOOSE($B$5, H19, H33, H47)</f>
        <v/>
      </c>
      <c r="I61" s="93">
        <f>CHOOSE($B$5, I19, I33, I47)</f>
        <v/>
      </c>
      <c r="J61" s="93">
        <f>CHOOSE($B$5, J19, J33, J47)</f>
        <v/>
      </c>
      <c r="K61" s="72" t="n"/>
    </row>
    <row r="62">
      <c r="A62" s="74" t="inlineStr">
        <is>
          <t>R&amp;D Expense (% of Revenue)</t>
        </is>
      </c>
      <c r="B62" s="70" t="n"/>
      <c r="C62" s="70" t="n"/>
      <c r="D62" s="70" t="n"/>
      <c r="E62" s="70" t="n"/>
      <c r="F62" s="93">
        <f>CHOOSE($B$5, F20, F34, F48)</f>
        <v/>
      </c>
      <c r="G62" s="93">
        <f>CHOOSE($B$5, G20, G34, G48)</f>
        <v/>
      </c>
      <c r="H62" s="93">
        <f>CHOOSE($B$5, H20, H34, H48)</f>
        <v/>
      </c>
      <c r="I62" s="93">
        <f>CHOOSE($B$5, I20, I34, I48)</f>
        <v/>
      </c>
      <c r="J62" s="93">
        <f>CHOOSE($B$5, J20, J34, J48)</f>
        <v/>
      </c>
      <c r="K62" s="72" t="n"/>
    </row>
    <row r="63">
      <c r="A63" s="74" t="inlineStr">
        <is>
          <t>SG&amp;A Expense (% of Revenue)</t>
        </is>
      </c>
      <c r="B63" s="70" t="n"/>
      <c r="C63" s="70" t="n"/>
      <c r="D63" s="70" t="n"/>
      <c r="E63" s="70" t="n"/>
      <c r="F63" s="93">
        <f>CHOOSE($B$5, F21, F35, F49)</f>
        <v/>
      </c>
      <c r="G63" s="93">
        <f>CHOOSE($B$5, G21, G35, G49)</f>
        <v/>
      </c>
      <c r="H63" s="93">
        <f>CHOOSE($B$5, H21, H35, H49)</f>
        <v/>
      </c>
      <c r="I63" s="93">
        <f>CHOOSE($B$5, I21, I35, I49)</f>
        <v/>
      </c>
      <c r="J63" s="93">
        <f>CHOOSE($B$5, J21, J35, J49)</f>
        <v/>
      </c>
      <c r="K63" s="72" t="n"/>
    </row>
    <row r="64">
      <c r="A64" s="74" t="inlineStr">
        <is>
          <t>Operating Margin (EBIT %)</t>
        </is>
      </c>
      <c r="B64" s="70" t="n"/>
      <c r="C64" s="70" t="n"/>
      <c r="D64" s="70" t="n"/>
      <c r="E64" s="70" t="n"/>
      <c r="F64" s="93">
        <f>CHOOSE($B$5, F22, F36, F50)</f>
        <v/>
      </c>
      <c r="G64" s="93">
        <f>CHOOSE($B$5, G22, G36, G50)</f>
        <v/>
      </c>
      <c r="H64" s="93">
        <f>CHOOSE($B$5, H22, H36, H50)</f>
        <v/>
      </c>
      <c r="I64" s="93">
        <f>CHOOSE($B$5, I22, I36, I50)</f>
        <v/>
      </c>
      <c r="J64" s="93">
        <f>CHOOSE($B$5, J22, J36, J50)</f>
        <v/>
      </c>
      <c r="K64" s="72" t="n"/>
    </row>
    <row r="65">
      <c r="A65" s="74" t="inlineStr">
        <is>
          <t>Effective Tax Rate (%)</t>
        </is>
      </c>
      <c r="B65" s="70" t="n"/>
      <c r="C65" s="70" t="n"/>
      <c r="D65" s="70" t="n"/>
      <c r="E65" s="70" t="n"/>
      <c r="F65" s="93">
        <f>CHOOSE($B$5, F23, F37, F51)</f>
        <v/>
      </c>
      <c r="G65" s="93">
        <f>CHOOSE($B$5, G23, G37, G51)</f>
        <v/>
      </c>
      <c r="H65" s="93">
        <f>CHOOSE($B$5, H23, H37, H51)</f>
        <v/>
      </c>
      <c r="I65" s="93">
        <f>CHOOSE($B$5, I23, I37, I51)</f>
        <v/>
      </c>
      <c r="J65" s="93">
        <f>CHOOSE($B$5, J23, J37, J51)</f>
        <v/>
      </c>
      <c r="K65" s="72" t="n"/>
    </row>
    <row r="66">
      <c r="A66" s="74" t="inlineStr">
        <is>
          <t>Depreciation &amp; Amortization (% of Rev)</t>
        </is>
      </c>
      <c r="B66" s="70" t="n"/>
      <c r="C66" s="70" t="n"/>
      <c r="D66" s="70" t="n"/>
      <c r="E66" s="70" t="n"/>
      <c r="F66" s="93">
        <f>CHOOSE($B$5, F24, F38, F52)</f>
        <v/>
      </c>
      <c r="G66" s="93">
        <f>CHOOSE($B$5, G24, G38, G52)</f>
        <v/>
      </c>
      <c r="H66" s="93">
        <f>CHOOSE($B$5, H24, H38, H52)</f>
        <v/>
      </c>
      <c r="I66" s="93">
        <f>CHOOSE($B$5, I24, I38, I52)</f>
        <v/>
      </c>
      <c r="J66" s="93">
        <f>CHOOSE($B$5, J24, J38, J52)</f>
        <v/>
      </c>
      <c r="K66" s="72" t="n"/>
    </row>
    <row r="67">
      <c r="A67" s="74" t="inlineStr">
        <is>
          <t>Capital Expenditures (% of Rev)</t>
        </is>
      </c>
      <c r="B67" s="70" t="n"/>
      <c r="C67" s="70" t="n"/>
      <c r="D67" s="70" t="n"/>
      <c r="E67" s="70" t="n"/>
      <c r="F67" s="93">
        <f>CHOOSE($B$5, F25, F39, F53)</f>
        <v/>
      </c>
      <c r="G67" s="93">
        <f>CHOOSE($B$5, G25, G39, G53)</f>
        <v/>
      </c>
      <c r="H67" s="93">
        <f>CHOOSE($B$5, H25, H39, H53)</f>
        <v/>
      </c>
      <c r="I67" s="93">
        <f>CHOOSE($B$5, I25, I39, I53)</f>
        <v/>
      </c>
      <c r="J67" s="93">
        <f>CHOOSE($B$5, J25, J39, J53)</f>
        <v/>
      </c>
      <c r="K67" s="72" t="n"/>
    </row>
    <row r="68">
      <c r="A68" s="74" t="inlineStr">
        <is>
          <t>Change in NWC (% of Δ Revenue)</t>
        </is>
      </c>
      <c r="B68" s="70" t="n"/>
      <c r="C68" s="70" t="n"/>
      <c r="D68" s="70" t="n"/>
      <c r="E68" s="70" t="n"/>
      <c r="F68" s="93">
        <f>CHOOSE($B$5, F26, F40, F54)</f>
        <v/>
      </c>
      <c r="G68" s="93">
        <f>CHOOSE($B$5, G26, G40, G54)</f>
        <v/>
      </c>
      <c r="H68" s="93">
        <f>CHOOSE($B$5, H26, H40, H54)</f>
        <v/>
      </c>
      <c r="I68" s="93">
        <f>CHOOSE($B$5, I26, I40, I54)</f>
        <v/>
      </c>
      <c r="J68" s="93">
        <f>CHOOSE($B$5, J26, J40, J54)</f>
        <v/>
      </c>
      <c r="K68" s="72" t="n"/>
    </row>
    <row r="69">
      <c r="A69" s="74" t="inlineStr">
        <is>
          <t>Terminal Perpetuity Growth Rate (g)</t>
        </is>
      </c>
      <c r="B69" s="70" t="n"/>
      <c r="C69" s="70" t="n"/>
      <c r="D69" s="70" t="n"/>
      <c r="E69" s="70" t="n"/>
      <c r="F69" s="94" t="inlineStr">
        <is>
          <t>-</t>
        </is>
      </c>
      <c r="G69" s="94" t="inlineStr">
        <is>
          <t>-</t>
        </is>
      </c>
      <c r="H69" s="94" t="inlineStr">
        <is>
          <t>-</t>
        </is>
      </c>
      <c r="I69" s="94" t="inlineStr">
        <is>
          <t>-</t>
        </is>
      </c>
      <c r="J69" s="94" t="inlineStr">
        <is>
          <t>-</t>
        </is>
      </c>
      <c r="K69" s="95">
        <f>CHOOSE($B$5, K27, K41, K55)</f>
        <v/>
      </c>
    </row>
    <row r="70">
      <c r="A70" s="65" t="inlineStr">
        <is>
          <t>Discount Rate (WACC)</t>
        </is>
      </c>
      <c r="B70" s="78" t="n"/>
      <c r="C70" s="78" t="n"/>
      <c r="D70" s="78" t="n"/>
      <c r="E70" s="78" t="n"/>
      <c r="F70" s="96">
        <f>CHOOSE($B$5, F28, F42, F56)</f>
        <v/>
      </c>
      <c r="G70" s="96">
        <f>CHOOSE($B$5, G28, G42, G56)</f>
        <v/>
      </c>
      <c r="H70" s="96">
        <f>CHOOSE($B$5, H28, H42, H56)</f>
        <v/>
      </c>
      <c r="I70" s="96">
        <f>CHOOSE($B$5, I28, I42, I56)</f>
        <v/>
      </c>
      <c r="J70" s="96">
        <f>CHOOSE($B$5, J28, J42, J56)</f>
        <v/>
      </c>
      <c r="K70" s="97">
        <f>CHOOSE($B$5, K28, K42, K56)</f>
        <v/>
      </c>
    </row>
    <row r="72">
      <c r="A72" s="62" t="inlineStr">
        <is>
          <t>HISTORICAL &amp; PROJECTED INCOME STATEMENT ($M)</t>
        </is>
      </c>
      <c r="B72" s="63" t="n"/>
      <c r="C72" s="63" t="n"/>
      <c r="D72" s="63" t="n"/>
      <c r="E72" s="63" t="n"/>
      <c r="F72" s="63" t="n"/>
      <c r="G72" s="63" t="n"/>
      <c r="H72" s="63" t="n"/>
      <c r="I72" s="63" t="n"/>
      <c r="J72" s="64" t="n"/>
    </row>
    <row r="73">
      <c r="A73" s="98" t="inlineStr">
        <is>
          <t>Income Statement Line Item</t>
        </is>
      </c>
      <c r="B73" s="70" t="n"/>
      <c r="C73" s="82" t="inlineStr">
        <is>
          <t>2023A</t>
        </is>
      </c>
      <c r="D73" s="82" t="inlineStr">
        <is>
          <t>2024A</t>
        </is>
      </c>
      <c r="E73" s="82" t="inlineStr">
        <is>
          <t>2025A</t>
        </is>
      </c>
      <c r="F73" s="82" t="inlineStr">
        <is>
          <t>2026E</t>
        </is>
      </c>
      <c r="G73" s="82" t="inlineStr">
        <is>
          <t>2027E</t>
        </is>
      </c>
      <c r="H73" s="82" t="inlineStr">
        <is>
          <t>2028E</t>
        </is>
      </c>
      <c r="I73" s="82" t="inlineStr">
        <is>
          <t>2029E</t>
        </is>
      </c>
      <c r="J73" s="83" t="inlineStr">
        <is>
          <t>2030E</t>
        </is>
      </c>
    </row>
    <row r="74">
      <c r="A74" s="74" t="inlineStr">
        <is>
          <t>Total Revenue</t>
        </is>
      </c>
      <c r="B74" s="70" t="n"/>
      <c r="C74" s="76" t="n">
        <v>10390</v>
      </c>
      <c r="D74" s="76" t="n">
        <v>14020</v>
      </c>
      <c r="E74" s="76" t="n">
        <v>18670</v>
      </c>
      <c r="F74" s="75">
        <f>E74*(1+F60)</f>
        <v/>
      </c>
      <c r="G74" s="75">
        <f>F74*(1+G60)</f>
        <v/>
      </c>
      <c r="H74" s="75">
        <f>G74*(1+H60)</f>
        <v/>
      </c>
      <c r="I74" s="75">
        <f>H74*(1+I60)</f>
        <v/>
      </c>
      <c r="J74" s="99">
        <f>I74*(1+J60)</f>
        <v/>
      </c>
    </row>
    <row r="75">
      <c r="A75" s="69" t="inlineStr">
        <is>
          <t xml:space="preserve">  % YoY Growth</t>
        </is>
      </c>
      <c r="B75" s="70" t="n"/>
      <c r="C75" s="94" t="inlineStr">
        <is>
          <t>-</t>
        </is>
      </c>
      <c r="D75" s="100">
        <f>D74/C74-1</f>
        <v/>
      </c>
      <c r="E75" s="100">
        <f>E74/D74-1</f>
        <v/>
      </c>
      <c r="F75" s="100">
        <f>F74/E74-1</f>
        <v/>
      </c>
      <c r="G75" s="100">
        <f>G74/F74-1</f>
        <v/>
      </c>
      <c r="H75" s="100">
        <f>H74/G74-1</f>
        <v/>
      </c>
      <c r="I75" s="100">
        <f>I74/H74-1</f>
        <v/>
      </c>
      <c r="J75" s="101">
        <f>J74/I74-1</f>
        <v/>
      </c>
    </row>
    <row r="76">
      <c r="A76" s="69" t="inlineStr">
        <is>
          <t>Cost of Goods Sold (COGS)</t>
        </is>
      </c>
      <c r="B76" s="70" t="n"/>
      <c r="C76" s="76" t="n">
        <v>7273</v>
      </c>
      <c r="D76" s="76" t="n">
        <v>9393</v>
      </c>
      <c r="E76" s="76" t="n">
        <v>12173</v>
      </c>
      <c r="F76" s="102">
        <f>F74*(1-F61)</f>
        <v/>
      </c>
      <c r="G76" s="102">
        <f>G74*(1-G61)</f>
        <v/>
      </c>
      <c r="H76" s="102">
        <f>H74*(1-H61)</f>
        <v/>
      </c>
      <c r="I76" s="102">
        <f>I74*(1-I61)</f>
        <v/>
      </c>
      <c r="J76" s="103">
        <f>J74*(1-J61)</f>
        <v/>
      </c>
    </row>
    <row r="77">
      <c r="A77" s="74" t="inlineStr">
        <is>
          <t>Gross Profit</t>
        </is>
      </c>
      <c r="B77" s="70" t="n"/>
      <c r="C77" s="104">
        <f>C74-C76</f>
        <v/>
      </c>
      <c r="D77" s="104">
        <f>D74-D76</f>
        <v/>
      </c>
      <c r="E77" s="104">
        <f>E74-E76</f>
        <v/>
      </c>
      <c r="F77" s="104">
        <f>F74-F76</f>
        <v/>
      </c>
      <c r="G77" s="104">
        <f>G74-G76</f>
        <v/>
      </c>
      <c r="H77" s="104">
        <f>H74-H76</f>
        <v/>
      </c>
      <c r="I77" s="104">
        <f>I74-I76</f>
        <v/>
      </c>
      <c r="J77" s="105">
        <f>J74-J76</f>
        <v/>
      </c>
    </row>
    <row r="78">
      <c r="A78" s="69" t="inlineStr">
        <is>
          <t xml:space="preserve">  % Gross Margin</t>
        </is>
      </c>
      <c r="B78" s="70" t="n"/>
      <c r="C78" s="100">
        <f>C77/C74</f>
        <v/>
      </c>
      <c r="D78" s="100">
        <f>D77/D74</f>
        <v/>
      </c>
      <c r="E78" s="100">
        <f>E77/E74</f>
        <v/>
      </c>
      <c r="F78" s="100">
        <f>F77/F74</f>
        <v/>
      </c>
      <c r="G78" s="100">
        <f>G77/G74</f>
        <v/>
      </c>
      <c r="H78" s="100">
        <f>H77/H74</f>
        <v/>
      </c>
      <c r="I78" s="100">
        <f>I77/I74</f>
        <v/>
      </c>
      <c r="J78" s="101">
        <f>J77/J74</f>
        <v/>
      </c>
    </row>
    <row r="79">
      <c r="A79" s="74" t="inlineStr">
        <is>
          <t>Operating Expenses:</t>
        </is>
      </c>
      <c r="B79" s="70" t="n"/>
      <c r="C79" s="70" t="n"/>
      <c r="D79" s="70" t="n"/>
      <c r="E79" s="70" t="n"/>
      <c r="F79" s="70" t="n"/>
      <c r="G79" s="70" t="n"/>
      <c r="H79" s="70" t="n"/>
      <c r="I79" s="70" t="n"/>
      <c r="J79" s="72" t="n"/>
    </row>
    <row r="80">
      <c r="A80" s="69" t="inlineStr">
        <is>
          <t xml:space="preserve">  Research &amp; Development (R&amp;D)</t>
        </is>
      </c>
      <c r="B80" s="70" t="n"/>
      <c r="C80" s="76" t="n">
        <v>3100</v>
      </c>
      <c r="D80" s="76" t="n">
        <v>4400</v>
      </c>
      <c r="E80" s="76" t="n">
        <v>6067</v>
      </c>
      <c r="F80" s="102">
        <f>F74*F62</f>
        <v/>
      </c>
      <c r="G80" s="102">
        <f>G74*G62</f>
        <v/>
      </c>
      <c r="H80" s="102">
        <f>H74*H62</f>
        <v/>
      </c>
      <c r="I80" s="102">
        <f>I74*I62</f>
        <v/>
      </c>
      <c r="J80" s="103">
        <f>J74*J62</f>
        <v/>
      </c>
    </row>
    <row r="81">
      <c r="A81" s="69" t="inlineStr">
        <is>
          <t xml:space="preserve">  Selling, General &amp; Administrative (SG&amp;A)</t>
        </is>
      </c>
      <c r="B81" s="70" t="n"/>
      <c r="C81" s="76" t="n">
        <v>2100</v>
      </c>
      <c r="D81" s="76" t="n">
        <v>3000</v>
      </c>
      <c r="E81" s="76" t="n">
        <v>3930</v>
      </c>
      <c r="F81" s="102">
        <f>F74*F63</f>
        <v/>
      </c>
      <c r="G81" s="102">
        <f>G74*G63</f>
        <v/>
      </c>
      <c r="H81" s="102">
        <f>H74*H63</f>
        <v/>
      </c>
      <c r="I81" s="102">
        <f>I74*I63</f>
        <v/>
      </c>
      <c r="J81" s="103">
        <f>J74*J63</f>
        <v/>
      </c>
    </row>
    <row r="82">
      <c r="A82" s="74" t="inlineStr">
        <is>
          <t>Total Operating Expenses</t>
        </is>
      </c>
      <c r="B82" s="70" t="n"/>
      <c r="C82" s="104">
        <f>SUM(C80:C81)</f>
        <v/>
      </c>
      <c r="D82" s="104">
        <f>SUM(D80:D81)</f>
        <v/>
      </c>
      <c r="E82" s="104">
        <f>SUM(E80:E81)</f>
        <v/>
      </c>
      <c r="F82" s="104">
        <f>SUM(F80:F81)</f>
        <v/>
      </c>
      <c r="G82" s="104">
        <f>SUM(G80:G81)</f>
        <v/>
      </c>
      <c r="H82" s="104">
        <f>SUM(H80:H81)</f>
        <v/>
      </c>
      <c r="I82" s="104">
        <f>SUM(I80:I81)</f>
        <v/>
      </c>
      <c r="J82" s="105">
        <f>SUM(J80:J81)</f>
        <v/>
      </c>
    </row>
    <row r="83">
      <c r="A83" s="74" t="inlineStr">
        <is>
          <t>Operating Income / (Loss) (EBIT)</t>
        </is>
      </c>
      <c r="B83" s="70" t="n"/>
      <c r="C83" s="77">
        <f>C77-C82</f>
        <v/>
      </c>
      <c r="D83" s="77">
        <f>D77-D82</f>
        <v/>
      </c>
      <c r="E83" s="77">
        <f>E77-E82</f>
        <v/>
      </c>
      <c r="F83" s="106">
        <f>F77-F82</f>
        <v/>
      </c>
      <c r="G83" s="106">
        <f>G77-G82</f>
        <v/>
      </c>
      <c r="H83" s="106">
        <f>H77-H82</f>
        <v/>
      </c>
      <c r="I83" s="106">
        <f>I77-I82</f>
        <v/>
      </c>
      <c r="J83" s="107">
        <f>J77-J82</f>
        <v/>
      </c>
    </row>
    <row r="84">
      <c r="A84" s="69" t="inlineStr">
        <is>
          <t xml:space="preserve">  % EBIT Margin</t>
        </is>
      </c>
      <c r="B84" s="70" t="n"/>
      <c r="C84" s="100">
        <f>C83/C74</f>
        <v/>
      </c>
      <c r="D84" s="100">
        <f>D83/D74</f>
        <v/>
      </c>
      <c r="E84" s="100">
        <f>E83/E74</f>
        <v/>
      </c>
      <c r="F84" s="100">
        <f>F83/F74</f>
        <v/>
      </c>
      <c r="G84" s="100">
        <f>G83/G74</f>
        <v/>
      </c>
      <c r="H84" s="100">
        <f>H83/H74</f>
        <v/>
      </c>
      <c r="I84" s="100">
        <f>I83/I74</f>
        <v/>
      </c>
      <c r="J84" s="101">
        <f>J83/J74</f>
        <v/>
      </c>
    </row>
    <row r="85">
      <c r="A85" s="69" t="inlineStr">
        <is>
          <t>Income Tax Provision (Taxes @ 21%)</t>
        </is>
      </c>
      <c r="B85" s="70" t="n"/>
      <c r="C85" s="108" t="n">
        <v>0</v>
      </c>
      <c r="D85" s="108" t="n">
        <v>0</v>
      </c>
      <c r="E85" s="108" t="n">
        <v>0</v>
      </c>
      <c r="F85" s="108">
        <f>IF(F83&gt;0, F83*F65, 0)</f>
        <v/>
      </c>
      <c r="G85" s="108">
        <f>IF(G83&gt;0, G83*G65, 0)</f>
        <v/>
      </c>
      <c r="H85" s="108">
        <f>IF(H83&gt;0, H83*H65, 0)</f>
        <v/>
      </c>
      <c r="I85" s="108">
        <f>IF(I83&gt;0, I83*I65, 0)</f>
        <v/>
      </c>
      <c r="J85" s="109">
        <f>IF(J83&gt;0, J83*J65, 0)</f>
        <v/>
      </c>
    </row>
    <row r="86">
      <c r="A86" s="65" t="inlineStr">
        <is>
          <t>Net Operating Profit After Tax (NOPAT)</t>
        </is>
      </c>
      <c r="B86" s="78" t="n"/>
      <c r="C86" s="110">
        <f>C83-C85</f>
        <v/>
      </c>
      <c r="D86" s="110">
        <f>D83-D85</f>
        <v/>
      </c>
      <c r="E86" s="110">
        <f>E83-E85</f>
        <v/>
      </c>
      <c r="F86" s="110">
        <f>F83-F85</f>
        <v/>
      </c>
      <c r="G86" s="110">
        <f>G83-G85</f>
        <v/>
      </c>
      <c r="H86" s="110">
        <f>H83-H85</f>
        <v/>
      </c>
      <c r="I86" s="110">
        <f>I83-I85</f>
        <v/>
      </c>
      <c r="J86" s="110">
        <f>J83-J85</f>
        <v/>
      </c>
    </row>
    <row r="88">
      <c r="A88" s="62" t="inlineStr">
        <is>
          <t>UNLEVERED FREE CASH FLOW (UFCF) BUILD ($M)</t>
        </is>
      </c>
      <c r="B88" s="63" t="n"/>
      <c r="C88" s="63" t="n"/>
      <c r="D88" s="63" t="n"/>
      <c r="E88" s="63" t="n"/>
      <c r="F88" s="63" t="n"/>
      <c r="G88" s="63" t="n"/>
      <c r="H88" s="63" t="n"/>
      <c r="I88" s="63" t="n"/>
      <c r="J88" s="64" t="n"/>
    </row>
    <row r="89">
      <c r="A89" s="98" t="inlineStr">
        <is>
          <t>Cash Flow Line Item</t>
        </is>
      </c>
      <c r="B89" s="70" t="n"/>
      <c r="C89" s="82" t="inlineStr">
        <is>
          <t>2023A</t>
        </is>
      </c>
      <c r="D89" s="82" t="inlineStr">
        <is>
          <t>2024A</t>
        </is>
      </c>
      <c r="E89" s="82" t="inlineStr">
        <is>
          <t>2025A</t>
        </is>
      </c>
      <c r="F89" s="82" t="inlineStr">
        <is>
          <t>2026E</t>
        </is>
      </c>
      <c r="G89" s="82" t="inlineStr">
        <is>
          <t>2027E</t>
        </is>
      </c>
      <c r="H89" s="82" t="inlineStr">
        <is>
          <t>2028E</t>
        </is>
      </c>
      <c r="I89" s="82" t="inlineStr">
        <is>
          <t>2029E</t>
        </is>
      </c>
      <c r="J89" s="83" t="inlineStr">
        <is>
          <t>2030E</t>
        </is>
      </c>
    </row>
    <row r="90">
      <c r="A90" s="69" t="inlineStr">
        <is>
          <t>Net Operating Profit After Tax (NOPAT)</t>
        </is>
      </c>
      <c r="B90" s="70" t="n"/>
      <c r="C90" s="108">
        <f>C86</f>
        <v/>
      </c>
      <c r="D90" s="108">
        <f>D86</f>
        <v/>
      </c>
      <c r="E90" s="108">
        <f>E86</f>
        <v/>
      </c>
      <c r="F90" s="108">
        <f>F86</f>
        <v/>
      </c>
      <c r="G90" s="108">
        <f>G86</f>
        <v/>
      </c>
      <c r="H90" s="108">
        <f>H86</f>
        <v/>
      </c>
      <c r="I90" s="108">
        <f>I86</f>
        <v/>
      </c>
      <c r="J90" s="109">
        <f>J86</f>
        <v/>
      </c>
    </row>
    <row r="91">
      <c r="A91" s="69" t="inlineStr">
        <is>
          <t>(+) Depreciation &amp; Amortization (D&amp;A)</t>
        </is>
      </c>
      <c r="B91" s="70" t="n"/>
      <c r="C91" s="76" t="n">
        <v>4800</v>
      </c>
      <c r="D91" s="76" t="n">
        <v>7200</v>
      </c>
      <c r="E91" s="76" t="n">
        <v>10080</v>
      </c>
      <c r="F91" s="102">
        <f>F74*F66</f>
        <v/>
      </c>
      <c r="G91" s="102">
        <f>G74*G66</f>
        <v/>
      </c>
      <c r="H91" s="102">
        <f>H74*H66</f>
        <v/>
      </c>
      <c r="I91" s="102">
        <f>I74*I66</f>
        <v/>
      </c>
      <c r="J91" s="103">
        <f>J74*J66</f>
        <v/>
      </c>
    </row>
    <row r="92">
      <c r="A92" s="69" t="inlineStr">
        <is>
          <t>(-) Capital Expenditures (CapEx)</t>
        </is>
      </c>
      <c r="B92" s="70" t="n"/>
      <c r="C92" s="76" t="n">
        <v>10500</v>
      </c>
      <c r="D92" s="76" t="n">
        <v>15200</v>
      </c>
      <c r="E92" s="76" t="n">
        <v>20700</v>
      </c>
      <c r="F92" s="102">
        <f>F74*F67</f>
        <v/>
      </c>
      <c r="G92" s="102">
        <f>G74*G67</f>
        <v/>
      </c>
      <c r="H92" s="102">
        <f>H74*H67</f>
        <v/>
      </c>
      <c r="I92" s="102">
        <f>I74*I67</f>
        <v/>
      </c>
      <c r="J92" s="103">
        <f>J74*J67</f>
        <v/>
      </c>
    </row>
    <row r="93">
      <c r="A93" s="69" t="inlineStr">
        <is>
          <t>(-) Change in Non-Cash Working Capital (ΔNWC)</t>
        </is>
      </c>
      <c r="B93" s="70" t="n"/>
      <c r="C93" s="111" t="n">
        <v>0</v>
      </c>
      <c r="D93" s="111" t="n">
        <v>54.45</v>
      </c>
      <c r="E93" s="111" t="n">
        <v>69.75</v>
      </c>
      <c r="F93" s="108">
        <f>(F74-E74)*F68</f>
        <v/>
      </c>
      <c r="G93" s="108">
        <f>(G74-F74)*G68</f>
        <v/>
      </c>
      <c r="H93" s="108">
        <f>(H74-G74)*H68</f>
        <v/>
      </c>
      <c r="I93" s="108">
        <f>(I74-H74)*I68</f>
        <v/>
      </c>
      <c r="J93" s="109">
        <f>(J74-I74)*J68</f>
        <v/>
      </c>
    </row>
    <row r="94">
      <c r="A94" s="65" t="inlineStr">
        <is>
          <t>Unlevered Free Cash Flow (UFCF)</t>
        </is>
      </c>
      <c r="B94" s="78" t="n"/>
      <c r="C94" s="112">
        <f>C90+C91-C92-C93</f>
        <v/>
      </c>
      <c r="D94" s="112">
        <f>D90+D91-D92-D93</f>
        <v/>
      </c>
      <c r="E94" s="112">
        <f>E90+E91-E92-E93</f>
        <v/>
      </c>
      <c r="F94" s="113">
        <f>F90+F91-F92-F93</f>
        <v/>
      </c>
      <c r="G94" s="113">
        <f>G90+G91-G92-G93</f>
        <v/>
      </c>
      <c r="H94" s="113">
        <f>H90+H91-H92-H93</f>
        <v/>
      </c>
      <c r="I94" s="113">
        <f>I90+I91-I92-I93</f>
        <v/>
      </c>
      <c r="J94" s="113">
        <f>J90+J91-J92-J93</f>
        <v/>
      </c>
    </row>
    <row r="96">
      <c r="A96" s="62" t="inlineStr">
        <is>
          <t>DISCOUNTING &amp; PRESENT VALUE CALCULATION ($M)</t>
        </is>
      </c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4" t="n"/>
    </row>
    <row r="97">
      <c r="A97" s="98" t="inlineStr">
        <is>
          <t>Valuation Metric / Period</t>
        </is>
      </c>
      <c r="B97" s="70" t="n"/>
      <c r="C97" s="70" t="n"/>
      <c r="D97" s="70" t="n"/>
      <c r="E97" s="70" t="n"/>
      <c r="F97" s="82" t="inlineStr">
        <is>
          <t>FY2026E</t>
        </is>
      </c>
      <c r="G97" s="82" t="inlineStr">
        <is>
          <t>FY2027E</t>
        </is>
      </c>
      <c r="H97" s="82" t="inlineStr">
        <is>
          <t>FY2028E</t>
        </is>
      </c>
      <c r="I97" s="82" t="inlineStr">
        <is>
          <t>FY2029E</t>
        </is>
      </c>
      <c r="J97" s="82" t="inlineStr">
        <is>
          <t>FY2030E</t>
        </is>
      </c>
      <c r="K97" s="83" t="inlineStr">
        <is>
          <t>Terminal</t>
        </is>
      </c>
    </row>
    <row r="98">
      <c r="A98" s="74" t="inlineStr">
        <is>
          <t>Unlevered Free Cash Flow ($M)</t>
        </is>
      </c>
      <c r="B98" s="70" t="n"/>
      <c r="C98" s="70" t="n"/>
      <c r="D98" s="70" t="n"/>
      <c r="E98" s="70" t="n"/>
      <c r="F98" s="114">
        <f>F94</f>
        <v/>
      </c>
      <c r="G98" s="114">
        <f>G94</f>
        <v/>
      </c>
      <c r="H98" s="114">
        <f>H94</f>
        <v/>
      </c>
      <c r="I98" s="114">
        <f>I94</f>
        <v/>
      </c>
      <c r="J98" s="114">
        <f>J94</f>
        <v/>
      </c>
      <c r="K98" s="115">
        <f>J98*(1+K69)</f>
        <v/>
      </c>
    </row>
    <row r="99">
      <c r="A99" s="69" t="inlineStr">
        <is>
          <t>Discount Period (Mid-Year Convention)</t>
        </is>
      </c>
      <c r="B99" s="70" t="n"/>
      <c r="C99" s="70" t="n"/>
      <c r="D99" s="70" t="n"/>
      <c r="E99" s="70" t="n"/>
      <c r="F99" s="116" t="n">
        <v>0.5</v>
      </c>
      <c r="G99" s="116" t="n">
        <v>1.5</v>
      </c>
      <c r="H99" s="116" t="n">
        <v>2.5</v>
      </c>
      <c r="I99" s="116" t="n">
        <v>3.5</v>
      </c>
      <c r="J99" s="116" t="n">
        <v>4.5</v>
      </c>
      <c r="K99" s="117" t="n">
        <v>4.5</v>
      </c>
    </row>
    <row r="100">
      <c r="A100" s="69" t="inlineStr">
        <is>
          <t>Discount Factor (1 / (1 + WACC)^t)</t>
        </is>
      </c>
      <c r="B100" s="70" t="n"/>
      <c r="C100" s="70" t="n"/>
      <c r="D100" s="70" t="n"/>
      <c r="E100" s="70" t="n"/>
      <c r="F100" s="118">
        <f>1/(1+F70)^F99</f>
        <v/>
      </c>
      <c r="G100" s="118">
        <f>1/(1+G70)^G99</f>
        <v/>
      </c>
      <c r="H100" s="118">
        <f>1/(1+H70)^H99</f>
        <v/>
      </c>
      <c r="I100" s="118">
        <f>1/(1+I70)^I99</f>
        <v/>
      </c>
      <c r="J100" s="118">
        <f>1/(1+J70)^J99</f>
        <v/>
      </c>
      <c r="K100" s="119">
        <f>1/(1+K70)^K99</f>
        <v/>
      </c>
    </row>
    <row r="101">
      <c r="A101" s="74" t="inlineStr">
        <is>
          <t>Present Value of Cash Flow ($M)</t>
        </is>
      </c>
      <c r="B101" s="70" t="n"/>
      <c r="C101" s="70" t="n"/>
      <c r="D101" s="70" t="n"/>
      <c r="E101" s="70" t="n"/>
      <c r="F101" s="106">
        <f>F98*F100</f>
        <v/>
      </c>
      <c r="G101" s="106">
        <f>G98*G100</f>
        <v/>
      </c>
      <c r="H101" s="106">
        <f>H98*H100</f>
        <v/>
      </c>
      <c r="I101" s="106">
        <f>I98*I100</f>
        <v/>
      </c>
      <c r="J101" s="106">
        <f>J98*J100</f>
        <v/>
      </c>
      <c r="K101" s="72" t="n"/>
    </row>
    <row r="102">
      <c r="A102" s="120" t="n"/>
      <c r="B102" s="70" t="n"/>
      <c r="C102" s="70" t="n"/>
      <c r="D102" s="70" t="n"/>
      <c r="E102" s="70" t="n"/>
      <c r="F102" s="70" t="n"/>
      <c r="G102" s="70" t="n"/>
      <c r="H102" s="70" t="n"/>
      <c r="I102" s="70" t="n"/>
      <c r="J102" s="70" t="n"/>
      <c r="K102" s="72" t="n"/>
    </row>
    <row r="103">
      <c r="A103" s="121" t="inlineStr">
        <is>
          <t>TERMINAL VALUE CALCULATION (GORDON GROWTH METHOD)</t>
        </is>
      </c>
      <c r="B103" s="70" t="n"/>
      <c r="C103" s="70" t="n"/>
      <c r="D103" s="70" t="n"/>
      <c r="E103" s="70" t="n"/>
      <c r="F103" s="70" t="n"/>
      <c r="G103" s="70" t="n"/>
      <c r="H103" s="70" t="n"/>
      <c r="I103" s="70" t="n"/>
      <c r="J103" s="70" t="n"/>
      <c r="K103" s="72" t="n"/>
    </row>
    <row r="104">
      <c r="A104" s="69" t="inlineStr">
        <is>
          <t>Terminal Year Normalized FCF ($M)</t>
        </is>
      </c>
      <c r="B104" s="70" t="n"/>
      <c r="C104" s="70" t="n"/>
      <c r="D104" s="70" t="n"/>
      <c r="E104" s="70" t="n"/>
      <c r="F104" s="70" t="n"/>
      <c r="G104" s="70" t="n"/>
      <c r="H104" s="70" t="n"/>
      <c r="I104" s="70" t="n"/>
      <c r="J104" s="70" t="n"/>
      <c r="K104" s="103">
        <f>K98</f>
        <v/>
      </c>
    </row>
    <row r="105">
      <c r="A105" s="69" t="inlineStr">
        <is>
          <t>Terminal Perpetuity Growth Rate (g)</t>
        </is>
      </c>
      <c r="B105" s="70" t="n"/>
      <c r="C105" s="70" t="n"/>
      <c r="D105" s="70" t="n"/>
      <c r="E105" s="70" t="n"/>
      <c r="F105" s="70" t="n"/>
      <c r="G105" s="70" t="n"/>
      <c r="H105" s="70" t="n"/>
      <c r="I105" s="70" t="n"/>
      <c r="J105" s="70" t="n"/>
      <c r="K105" s="101">
        <f>K69</f>
        <v/>
      </c>
    </row>
    <row r="106">
      <c r="A106" s="74" t="inlineStr">
        <is>
          <t>Undiscounted Terminal Value (TV) ($M)</t>
        </is>
      </c>
      <c r="B106" s="70" t="n"/>
      <c r="C106" s="70" t="n"/>
      <c r="D106" s="70" t="n"/>
      <c r="E106" s="70" t="n"/>
      <c r="F106" s="70" t="n"/>
      <c r="G106" s="70" t="n"/>
      <c r="H106" s="70" t="n"/>
      <c r="I106" s="70" t="n"/>
      <c r="J106" s="70" t="n"/>
      <c r="K106" s="105">
        <f>K104/(K70-K105)</f>
        <v/>
      </c>
    </row>
    <row r="107">
      <c r="A107" s="122" t="inlineStr">
        <is>
          <t>Present Value of Terminal Value ($M)</t>
        </is>
      </c>
      <c r="B107" s="78" t="n"/>
      <c r="C107" s="78" t="n"/>
      <c r="D107" s="78" t="n"/>
      <c r="E107" s="78" t="n"/>
      <c r="F107" s="78" t="n"/>
      <c r="G107" s="78" t="n"/>
      <c r="H107" s="78" t="n"/>
      <c r="I107" s="78" t="n"/>
      <c r="J107" s="78" t="n"/>
      <c r="K107" s="123">
        <f>K106*K100</f>
        <v/>
      </c>
    </row>
    <row r="109">
      <c r="A109" s="62" t="inlineStr">
        <is>
          <t>VALUATION SUMMARY &amp; PER SHARE BRIDGE ($M, except per share)</t>
        </is>
      </c>
      <c r="B109" s="63" t="n"/>
      <c r="C109" s="63" t="n"/>
      <c r="D109" s="64" t="n"/>
    </row>
    <row r="110">
      <c r="A110" s="69" t="inlineStr">
        <is>
          <t>Cumulative PV of 5-Year Explicit Cash Flows</t>
        </is>
      </c>
      <c r="B110" s="70" t="n"/>
      <c r="C110" s="124">
        <f>SUM(F101:J101)</f>
        <v/>
      </c>
      <c r="D110" s="72" t="n"/>
    </row>
    <row r="111">
      <c r="A111" s="69" t="inlineStr">
        <is>
          <t>Present Value of Terminal Value</t>
        </is>
      </c>
      <c r="B111" s="70" t="n"/>
      <c r="C111" s="124">
        <f>K107</f>
        <v/>
      </c>
      <c r="D111" s="72" t="n"/>
    </row>
    <row r="112">
      <c r="A112" s="125" t="inlineStr">
        <is>
          <t>Enterprise Value (EV)</t>
        </is>
      </c>
      <c r="B112" s="70" t="n"/>
      <c r="C112" s="126">
        <f>C110+C111</f>
        <v/>
      </c>
      <c r="D112" s="72" t="n"/>
    </row>
    <row r="113">
      <c r="A113" s="69" t="inlineStr">
        <is>
          <t>Less: Total Debt &amp; Lease Liabilities</t>
        </is>
      </c>
      <c r="B113" s="70" t="n"/>
      <c r="C113" s="127">
        <f>-$C$11</f>
        <v/>
      </c>
      <c r="D113" s="72" t="n"/>
    </row>
    <row r="114">
      <c r="A114" s="69" t="inlineStr">
        <is>
          <t>Plus: Cash &amp; Cash Equivalents</t>
        </is>
      </c>
      <c r="B114" s="70" t="n"/>
      <c r="C114" s="124">
        <f>+$C$12</f>
        <v/>
      </c>
      <c r="D114" s="72" t="n"/>
    </row>
    <row r="115">
      <c r="A115" s="69" t="inlineStr">
        <is>
          <t>Net Debt / (Net Cash Position)</t>
        </is>
      </c>
      <c r="B115" s="70" t="n"/>
      <c r="C115" s="77">
        <f>C113+C114</f>
        <v/>
      </c>
      <c r="D115" s="72" t="n"/>
    </row>
    <row r="116">
      <c r="A116" s="125" t="inlineStr">
        <is>
          <t>Implied Equity Value</t>
        </is>
      </c>
      <c r="B116" s="70" t="n"/>
      <c r="C116" s="126">
        <f>C112+C115</f>
        <v/>
      </c>
      <c r="D116" s="72" t="n"/>
    </row>
    <row r="117">
      <c r="A117" s="69" t="inlineStr">
        <is>
          <t>Diluted Shares Outstanding (M)</t>
        </is>
      </c>
      <c r="B117" s="70" t="n"/>
      <c r="C117" s="128">
        <f>$C$9</f>
        <v/>
      </c>
      <c r="D117" s="72" t="n"/>
    </row>
    <row r="118">
      <c r="A118" s="129" t="inlineStr">
        <is>
          <t>IMPLIED INTRINSIC VALUE PER SHARE ($)</t>
        </is>
      </c>
      <c r="B118" s="70" t="n"/>
      <c r="C118" s="130">
        <f>C116/C117</f>
        <v/>
      </c>
      <c r="D118" s="72" t="n"/>
    </row>
    <row r="119">
      <c r="A119" s="69" t="inlineStr">
        <is>
          <t>Current Market Stock Price ($)</t>
        </is>
      </c>
      <c r="B119" s="70" t="n"/>
      <c r="C119" s="131">
        <f>$C$8</f>
        <v/>
      </c>
      <c r="D119" s="72" t="n"/>
    </row>
    <row r="120">
      <c r="A120" s="125" t="inlineStr">
        <is>
          <t>Implied Upside / (Downside) (%)</t>
        </is>
      </c>
      <c r="B120" s="70" t="n"/>
      <c r="C120" s="132">
        <f>C118/C119-1</f>
        <v/>
      </c>
      <c r="D120" s="72" t="n"/>
    </row>
    <row r="121">
      <c r="A121" s="88" t="inlineStr">
        <is>
          <t>Terminal Value as % of Enterprise Value</t>
        </is>
      </c>
      <c r="B121" s="78" t="n"/>
      <c r="C121" s="133">
        <f>C111/C112</f>
        <v/>
      </c>
      <c r="D121" s="80" t="n"/>
    </row>
    <row r="124">
      <c r="A124" s="62" t="inlineStr">
        <is>
          <t>SENSITIVITY ANALYSIS 1: IMPLIED SHARE PRICE ($) — WACC VS TERMINAL PERPETUITY GROWTH (g)</t>
        </is>
      </c>
      <c r="B124" s="63" t="n"/>
      <c r="C124" s="63" t="n"/>
      <c r="D124" s="63" t="n"/>
      <c r="E124" s="63" t="n"/>
      <c r="F124" s="63" t="n"/>
      <c r="G124" s="64" t="n"/>
    </row>
    <row r="125">
      <c r="A125" s="98" t="n"/>
      <c r="B125" s="82" t="inlineStr">
        <is>
          <t>WACC \ g</t>
        </is>
      </c>
      <c r="C125" s="93" t="n">
        <v>0.02</v>
      </c>
      <c r="D125" s="93" t="n">
        <v>0.025</v>
      </c>
      <c r="E125" s="93" t="n">
        <v>0.03</v>
      </c>
      <c r="F125" s="93" t="n">
        <v>0.035</v>
      </c>
      <c r="G125" s="95" t="n">
        <v>0.04</v>
      </c>
    </row>
    <row r="126">
      <c r="A126" s="120" t="n"/>
      <c r="B126" s="93" t="n">
        <v>0.08500000000000001</v>
      </c>
      <c r="C126" s="134">
        <f>((($F$98/(1+$B126)^0.5 + $G$98/(1+$B126)^1.5 + $H$98/(1+$B126)^2.5 + $I$98/(1+$B126)^3.5 + $J$98/(1+$B126)^4.5) + (($J$98*(1+C$125)/($B126-C$125))/(1+$B126)^4.5)) - $C$11 + $C$12) / $C$9</f>
        <v/>
      </c>
      <c r="D126" s="134">
        <f>((($F$98/(1+$B126)^0.5 + $G$98/(1+$B126)^1.5 + $H$98/(1+$B126)^2.5 + $I$98/(1+$B126)^3.5 + $J$98/(1+$B126)^4.5) + (($J$98*(1+D$125)/($B126-D$125))/(1+$B126)^4.5)) - $C$11 + $C$12) / $C$9</f>
        <v/>
      </c>
      <c r="E126" s="134">
        <f>((($F$98/(1+$B126)^0.5 + $G$98/(1+$B126)^1.5 + $H$98/(1+$B126)^2.5 + $I$98/(1+$B126)^3.5 + $J$98/(1+$B126)^4.5) + (($J$98*(1+E$125)/($B126-E$125))/(1+$B126)^4.5)) - $C$11 + $C$12) / $C$9</f>
        <v/>
      </c>
      <c r="F126" s="134">
        <f>((($F$98/(1+$B126)^0.5 + $G$98/(1+$B126)^1.5 + $H$98/(1+$B126)^2.5 + $I$98/(1+$B126)^3.5 + $J$98/(1+$B126)^4.5) + (($J$98*(1+F$125)/($B126-F$125))/(1+$B126)^4.5)) - $C$11 + $C$12) / $C$9</f>
        <v/>
      </c>
      <c r="G126" s="135">
        <f>((($F$98/(1+$B126)^0.5 + $G$98/(1+$B126)^1.5 + $H$98/(1+$B126)^2.5 + $I$98/(1+$B126)^3.5 + $J$98/(1+$B126)^4.5) + (($J$98*(1+G$125)/($B126-G$125))/(1+$B126)^4.5)) - $C$11 + $C$12) / $C$9</f>
        <v/>
      </c>
    </row>
    <row r="127">
      <c r="A127" s="120" t="n"/>
      <c r="B127" s="93" t="n">
        <v>0.095</v>
      </c>
      <c r="C127" s="134">
        <f>((($F$98/(1+$B127)^0.5 + $G$98/(1+$B127)^1.5 + $H$98/(1+$B127)^2.5 + $I$98/(1+$B127)^3.5 + $J$98/(1+$B127)^4.5) + (($J$98*(1+C$125)/($B127-C$125))/(1+$B127)^4.5)) - $C$11 + $C$12) / $C$9</f>
        <v/>
      </c>
      <c r="D127" s="134">
        <f>((($F$98/(1+$B127)^0.5 + $G$98/(1+$B127)^1.5 + $H$98/(1+$B127)^2.5 + $I$98/(1+$B127)^3.5 + $J$98/(1+$B127)^4.5) + (($J$98*(1+D$125)/($B127-D$125))/(1+$B127)^4.5)) - $C$11 + $C$12) / $C$9</f>
        <v/>
      </c>
      <c r="E127" s="134">
        <f>((($F$98/(1+$B127)^0.5 + $G$98/(1+$B127)^1.5 + $H$98/(1+$B127)^2.5 + $I$98/(1+$B127)^3.5 + $J$98/(1+$B127)^4.5) + (($J$98*(1+E$125)/($B127-E$125))/(1+$B127)^4.5)) - $C$11 + $C$12) / $C$9</f>
        <v/>
      </c>
      <c r="F127" s="134">
        <f>((($F$98/(1+$B127)^0.5 + $G$98/(1+$B127)^1.5 + $H$98/(1+$B127)^2.5 + $I$98/(1+$B127)^3.5 + $J$98/(1+$B127)^4.5) + (($J$98*(1+F$125)/($B127-F$125))/(1+$B127)^4.5)) - $C$11 + $C$12) / $C$9</f>
        <v/>
      </c>
      <c r="G127" s="135">
        <f>((($F$98/(1+$B127)^0.5 + $G$98/(1+$B127)^1.5 + $H$98/(1+$B127)^2.5 + $I$98/(1+$B127)^3.5 + $J$98/(1+$B127)^4.5) + (($J$98*(1+G$125)/($B127-G$125))/(1+$B127)^4.5)) - $C$11 + $C$12) / $C$9</f>
        <v/>
      </c>
    </row>
    <row r="128">
      <c r="A128" s="120" t="n"/>
      <c r="B128" s="93" t="n">
        <v>0.105</v>
      </c>
      <c r="C128" s="134">
        <f>((($F$98/(1+$B128)^0.5 + $G$98/(1+$B128)^1.5 + $H$98/(1+$B128)^2.5 + $I$98/(1+$B128)^3.5 + $J$98/(1+$B128)^4.5) + (($J$98*(1+C$125)/($B128-C$125))/(1+$B128)^4.5)) - $C$11 + $C$12) / $C$9</f>
        <v/>
      </c>
      <c r="D128" s="134">
        <f>((($F$98/(1+$B128)^0.5 + $G$98/(1+$B128)^1.5 + $H$98/(1+$B128)^2.5 + $I$98/(1+$B128)^3.5 + $J$98/(1+$B128)^4.5) + (($J$98*(1+D$125)/($B128-D$125))/(1+$B128)^4.5)) - $C$11 + $C$12) / $C$9</f>
        <v/>
      </c>
      <c r="E128" s="136">
        <f>((($F$98/(1+$B128)^0.5 + $G$98/(1+$B128)^1.5 + $H$98/(1+$B128)^2.5 + $I$98/(1+$B128)^3.5 + $J$98/(1+$B128)^4.5) + (($J$98*(1+E$125)/($B128-E$125))/(1+$B128)^4.5)) - $C$11 + $C$12) / $C$9</f>
        <v/>
      </c>
      <c r="F128" s="134">
        <f>((($F$98/(1+$B128)^0.5 + $G$98/(1+$B128)^1.5 + $H$98/(1+$B128)^2.5 + $I$98/(1+$B128)^3.5 + $J$98/(1+$B128)^4.5) + (($J$98*(1+F$125)/($B128-F$125))/(1+$B128)^4.5)) - $C$11 + $C$12) / $C$9</f>
        <v/>
      </c>
      <c r="G128" s="135">
        <f>((($F$98/(1+$B128)^0.5 + $G$98/(1+$B128)^1.5 + $H$98/(1+$B128)^2.5 + $I$98/(1+$B128)^3.5 + $J$98/(1+$B128)^4.5) + (($J$98*(1+G$125)/($B128-G$125))/(1+$B128)^4.5)) - $C$11 + $C$12) / $C$9</f>
        <v/>
      </c>
    </row>
    <row r="129">
      <c r="A129" s="120" t="n"/>
      <c r="B129" s="93" t="n">
        <v>0.115</v>
      </c>
      <c r="C129" s="134">
        <f>((($F$98/(1+$B129)^0.5 + $G$98/(1+$B129)^1.5 + $H$98/(1+$B129)^2.5 + $I$98/(1+$B129)^3.5 + $J$98/(1+$B129)^4.5) + (($J$98*(1+C$125)/($B129-C$125))/(1+$B129)^4.5)) - $C$11 + $C$12) / $C$9</f>
        <v/>
      </c>
      <c r="D129" s="134">
        <f>((($F$98/(1+$B129)^0.5 + $G$98/(1+$B129)^1.5 + $H$98/(1+$B129)^2.5 + $I$98/(1+$B129)^3.5 + $J$98/(1+$B129)^4.5) + (($J$98*(1+D$125)/($B129-D$125))/(1+$B129)^4.5)) - $C$11 + $C$12) / $C$9</f>
        <v/>
      </c>
      <c r="E129" s="134">
        <f>((($F$98/(1+$B129)^0.5 + $G$98/(1+$B129)^1.5 + $H$98/(1+$B129)^2.5 + $I$98/(1+$B129)^3.5 + $J$98/(1+$B129)^4.5) + (($J$98*(1+E$125)/($B129-E$125))/(1+$B129)^4.5)) - $C$11 + $C$12) / $C$9</f>
        <v/>
      </c>
      <c r="F129" s="134">
        <f>((($F$98/(1+$B129)^0.5 + $G$98/(1+$B129)^1.5 + $H$98/(1+$B129)^2.5 + $I$98/(1+$B129)^3.5 + $J$98/(1+$B129)^4.5) + (($J$98*(1+F$125)/($B129-F$125))/(1+$B129)^4.5)) - $C$11 + $C$12) / $C$9</f>
        <v/>
      </c>
      <c r="G129" s="135">
        <f>((($F$98/(1+$B129)^0.5 + $G$98/(1+$B129)^1.5 + $H$98/(1+$B129)^2.5 + $I$98/(1+$B129)^3.5 + $J$98/(1+$B129)^4.5) + (($J$98*(1+G$125)/($B129-G$125))/(1+$B129)^4.5)) - $C$11 + $C$12) / $C$9</f>
        <v/>
      </c>
    </row>
    <row r="130">
      <c r="A130" s="137" t="n"/>
      <c r="B130" s="96" t="n">
        <v>0.125</v>
      </c>
      <c r="C130" s="138">
        <f>((($F$98/(1+$B130)^0.5 + $G$98/(1+$B130)^1.5 + $H$98/(1+$B130)^2.5 + $I$98/(1+$B130)^3.5 + $J$98/(1+$B130)^4.5) + (($J$98*(1+C$125)/($B130-C$125))/(1+$B130)^4.5)) - $C$11 + $C$12) / $C$9</f>
        <v/>
      </c>
      <c r="D130" s="138">
        <f>((($F$98/(1+$B130)^0.5 + $G$98/(1+$B130)^1.5 + $H$98/(1+$B130)^2.5 + $I$98/(1+$B130)^3.5 + $J$98/(1+$B130)^4.5) + (($J$98*(1+D$125)/($B130-D$125))/(1+$B130)^4.5)) - $C$11 + $C$12) / $C$9</f>
        <v/>
      </c>
      <c r="E130" s="138">
        <f>((($F$98/(1+$B130)^0.5 + $G$98/(1+$B130)^1.5 + $H$98/(1+$B130)^2.5 + $I$98/(1+$B130)^3.5 + $J$98/(1+$B130)^4.5) + (($J$98*(1+E$125)/($B130-E$125))/(1+$B130)^4.5)) - $C$11 + $C$12) / $C$9</f>
        <v/>
      </c>
      <c r="F130" s="138">
        <f>((($F$98/(1+$B130)^0.5 + $G$98/(1+$B130)^1.5 + $H$98/(1+$B130)^2.5 + $I$98/(1+$B130)^3.5 + $J$98/(1+$B130)^4.5) + (($J$98*(1+F$125)/($B130-F$125))/(1+$B130)^4.5)) - $C$11 + $C$12) / $C$9</f>
        <v/>
      </c>
      <c r="G130" s="139">
        <f>((($F$98/(1+$B130)^0.5 + $G$98/(1+$B130)^1.5 + $H$98/(1+$B130)^2.5 + $I$98/(1+$B130)^3.5 + $J$98/(1+$B130)^4.5) + (($J$98*(1+G$125)/($B130-G$125))/(1+$B130)^4.5)) - $C$11 + $C$12) / $C$9</f>
        <v/>
      </c>
    </row>
    <row r="134">
      <c r="A134" s="62" t="inlineStr">
        <is>
          <t>SENSITIVITY ANALYSIS 2: IMPLIED SHARE PRICE ($) — 2030E EBIT MARGIN VS 2030E REVENUE GROWTH</t>
        </is>
      </c>
      <c r="B134" s="63" t="n"/>
      <c r="C134" s="63" t="n"/>
      <c r="D134" s="63" t="n"/>
      <c r="E134" s="63" t="n"/>
      <c r="F134" s="63" t="n"/>
      <c r="G134" s="64" t="n"/>
    </row>
    <row r="135">
      <c r="A135" s="98" t="n"/>
      <c r="B135" s="82" t="inlineStr">
        <is>
          <t>Margin \ Growth</t>
        </is>
      </c>
      <c r="C135" s="93" t="n">
        <v>0.25</v>
      </c>
      <c r="D135" s="93" t="n">
        <v>0.3</v>
      </c>
      <c r="E135" s="93" t="n">
        <v>0.348</v>
      </c>
      <c r="F135" s="93" t="n">
        <v>0.4</v>
      </c>
      <c r="G135" s="95" t="n">
        <v>0.45</v>
      </c>
    </row>
    <row r="136">
      <c r="A136" s="120" t="n"/>
      <c r="B136" s="93" t="n">
        <v>0.2</v>
      </c>
      <c r="C136" s="134">
        <f>(SUM($F$101:$I$101) + (($I$74*(1+C$135))*$B136*(1-$F$65) + ($I$74*(1+C$135))*$J$66 - ($I$74*(1+C$135))*$J$67 - (($I$74*(1+C$135))-$I$74)*$J$68)/(1+$J$70)^4.5 + ((($I$74*(1+C$135))*$B136*(1-$F$65) + ($I$74*(1+C$135))*$J$66 - ($I$74*(1+C$135))*$J$67 - (($I$74*(1+C$135))-$I$74)*$J$68)*(1+$K$69)/($K$70-$K$69))/(1+$K$70)^4.5 - $C$11 + $C$12) / $C$9</f>
        <v/>
      </c>
      <c r="D136" s="134">
        <f>(SUM($F$101:$I$101) + (($I$74*(1+D$135))*$B136*(1-$F$65) + ($I$74*(1+D$135))*$J$66 - ($I$74*(1+D$135))*$J$67 - (($I$74*(1+D$135))-$I$74)*$J$68)/(1+$J$70)^4.5 + ((($I$74*(1+D$135))*$B136*(1-$F$65) + ($I$74*(1+D$135))*$J$66 - ($I$74*(1+D$135))*$J$67 - (($I$74*(1+D$135))-$I$74)*$J$68)*(1+$K$69)/($K$70-$K$69))/(1+$K$70)^4.5 - $C$11 + $C$12) / $C$9</f>
        <v/>
      </c>
      <c r="E136" s="134">
        <f>(SUM($F$101:$I$101) + (($I$74*(1+E$135))*$B136*(1-$F$65) + ($I$74*(1+E$135))*$J$66 - ($I$74*(1+E$135))*$J$67 - (($I$74*(1+E$135))-$I$74)*$J$68)/(1+$J$70)^4.5 + ((($I$74*(1+E$135))*$B136*(1-$F$65) + ($I$74*(1+E$135))*$J$66 - ($I$74*(1+E$135))*$J$67 - (($I$74*(1+E$135))-$I$74)*$J$68)*(1+$K$69)/($K$70-$K$69))/(1+$K$70)^4.5 - $C$11 + $C$12) / $C$9</f>
        <v/>
      </c>
      <c r="F136" s="134">
        <f>(SUM($F$101:$I$101) + (($I$74*(1+F$135))*$B136*(1-$F$65) + ($I$74*(1+F$135))*$J$66 - ($I$74*(1+F$135))*$J$67 - (($I$74*(1+F$135))-$I$74)*$J$68)/(1+$J$70)^4.5 + ((($I$74*(1+F$135))*$B136*(1-$F$65) + ($I$74*(1+F$135))*$J$66 - ($I$74*(1+F$135))*$J$67 - (($I$74*(1+F$135))-$I$74)*$J$68)*(1+$K$69)/($K$70-$K$69))/(1+$K$70)^4.5 - $C$11 + $C$12) / $C$9</f>
        <v/>
      </c>
      <c r="G136" s="135">
        <f>(SUM($F$101:$I$101) + (($I$74*(1+G$135))*$B136*(1-$F$65) + ($I$74*(1+G$135))*$J$66 - ($I$74*(1+G$135))*$J$67 - (($I$74*(1+G$135))-$I$74)*$J$68)/(1+$J$70)^4.5 + ((($I$74*(1+G$135))*$B136*(1-$F$65) + ($I$74*(1+G$135))*$J$66 - ($I$74*(1+G$135))*$J$67 - (($I$74*(1+G$135))-$I$74)*$J$68)*(1+$K$69)/($K$70-$K$69))/(1+$K$70)^4.5 - $C$11 + $C$12) / $C$9</f>
        <v/>
      </c>
    </row>
    <row r="137">
      <c r="A137" s="120" t="n"/>
      <c r="B137" s="93" t="n">
        <v>0.25</v>
      </c>
      <c r="C137" s="134">
        <f>(SUM($F$101:$I$101) + (($I$74*(1+C$135))*$B137*(1-$F$65) + ($I$74*(1+C$135))*$J$66 - ($I$74*(1+C$135))*$J$67 - (($I$74*(1+C$135))-$I$74)*$J$68)/(1+$J$70)^4.5 + ((($I$74*(1+C$135))*$B137*(1-$F$65) + ($I$74*(1+C$135))*$J$66 - ($I$74*(1+C$135))*$J$67 - (($I$74*(1+C$135))-$I$74)*$J$68)*(1+$K$69)/($K$70-$K$69))/(1+$K$70)^4.5 - $C$11 + $C$12) / $C$9</f>
        <v/>
      </c>
      <c r="D137" s="134">
        <f>(SUM($F$101:$I$101) + (($I$74*(1+D$135))*$B137*(1-$F$65) + ($I$74*(1+D$135))*$J$66 - ($I$74*(1+D$135))*$J$67 - (($I$74*(1+D$135))-$I$74)*$J$68)/(1+$J$70)^4.5 + ((($I$74*(1+D$135))*$B137*(1-$F$65) + ($I$74*(1+D$135))*$J$66 - ($I$74*(1+D$135))*$J$67 - (($I$74*(1+D$135))-$I$74)*$J$68)*(1+$K$69)/($K$70-$K$69))/(1+$K$70)^4.5 - $C$11 + $C$12) / $C$9</f>
        <v/>
      </c>
      <c r="E137" s="134">
        <f>(SUM($F$101:$I$101) + (($I$74*(1+E$135))*$B137*(1-$F$65) + ($I$74*(1+E$135))*$J$66 - ($I$74*(1+E$135))*$J$67 - (($I$74*(1+E$135))-$I$74)*$J$68)/(1+$J$70)^4.5 + ((($I$74*(1+E$135))*$B137*(1-$F$65) + ($I$74*(1+E$135))*$J$66 - ($I$74*(1+E$135))*$J$67 - (($I$74*(1+E$135))-$I$74)*$J$68)*(1+$K$69)/($K$70-$K$69))/(1+$K$70)^4.5 - $C$11 + $C$12) / $C$9</f>
        <v/>
      </c>
      <c r="F137" s="134">
        <f>(SUM($F$101:$I$101) + (($I$74*(1+F$135))*$B137*(1-$F$65) + ($I$74*(1+F$135))*$J$66 - ($I$74*(1+F$135))*$J$67 - (($I$74*(1+F$135))-$I$74)*$J$68)/(1+$J$70)^4.5 + ((($I$74*(1+F$135))*$B137*(1-$F$65) + ($I$74*(1+F$135))*$J$66 - ($I$74*(1+F$135))*$J$67 - (($I$74*(1+F$135))-$I$74)*$J$68)*(1+$K$69)/($K$70-$K$69))/(1+$K$70)^4.5 - $C$11 + $C$12) / $C$9</f>
        <v/>
      </c>
      <c r="G137" s="135">
        <f>(SUM($F$101:$I$101) + (($I$74*(1+G$135))*$B137*(1-$F$65) + ($I$74*(1+G$135))*$J$66 - ($I$74*(1+G$135))*$J$67 - (($I$74*(1+G$135))-$I$74)*$J$68)/(1+$J$70)^4.5 + ((($I$74*(1+G$135))*$B137*(1-$F$65) + ($I$74*(1+G$135))*$J$66 - ($I$74*(1+G$135))*$J$67 - (($I$74*(1+G$135))-$I$74)*$J$68)*(1+$K$69)/($K$70-$K$69))/(1+$K$70)^4.5 - $C$11 + $C$12) / $C$9</f>
        <v/>
      </c>
    </row>
    <row r="138">
      <c r="A138" s="120" t="n"/>
      <c r="B138" s="93" t="n">
        <v>0.3</v>
      </c>
      <c r="C138" s="134">
        <f>(SUM($F$101:$I$101) + (($I$74*(1+C$135))*$B138*(1-$F$65) + ($I$74*(1+C$135))*$J$66 - ($I$74*(1+C$135))*$J$67 - (($I$74*(1+C$135))-$I$74)*$J$68)/(1+$J$70)^4.5 + ((($I$74*(1+C$135))*$B138*(1-$F$65) + ($I$74*(1+C$135))*$J$66 - ($I$74*(1+C$135))*$J$67 - (($I$74*(1+C$135))-$I$74)*$J$68)*(1+$K$69)/($K$70-$K$69))/(1+$K$70)^4.5 - $C$11 + $C$12) / $C$9</f>
        <v/>
      </c>
      <c r="D138" s="134">
        <f>(SUM($F$101:$I$101) + (($I$74*(1+D$135))*$B138*(1-$F$65) + ($I$74*(1+D$135))*$J$66 - ($I$74*(1+D$135))*$J$67 - (($I$74*(1+D$135))-$I$74)*$J$68)/(1+$J$70)^4.5 + ((($I$74*(1+D$135))*$B138*(1-$F$65) + ($I$74*(1+D$135))*$J$66 - ($I$74*(1+D$135))*$J$67 - (($I$74*(1+D$135))-$I$74)*$J$68)*(1+$K$69)/($K$70-$K$69))/(1+$K$70)^4.5 - $C$11 + $C$12) / $C$9</f>
        <v/>
      </c>
      <c r="E138" s="136">
        <f>(SUM($F$101:$I$101) + (($I$74*(1+E$135))*$B138*(1-$F$65) + ($I$74*(1+E$135))*$J$66 - ($I$74*(1+E$135))*$J$67 - (($I$74*(1+E$135))-$I$74)*$J$68)/(1+$J$70)^4.5 + ((($I$74*(1+E$135))*$B138*(1-$F$65) + ($I$74*(1+E$135))*$J$66 - ($I$74*(1+E$135))*$J$67 - (($I$74*(1+E$135))-$I$74)*$J$68)*(1+$K$69)/($K$70-$K$69))/(1+$K$70)^4.5 - $C$11 + $C$12) / $C$9</f>
        <v/>
      </c>
      <c r="F138" s="134">
        <f>(SUM($F$101:$I$101) + (($I$74*(1+F$135))*$B138*(1-$F$65) + ($I$74*(1+F$135))*$J$66 - ($I$74*(1+F$135))*$J$67 - (($I$74*(1+F$135))-$I$74)*$J$68)/(1+$J$70)^4.5 + ((($I$74*(1+F$135))*$B138*(1-$F$65) + ($I$74*(1+F$135))*$J$66 - ($I$74*(1+F$135))*$J$67 - (($I$74*(1+F$135))-$I$74)*$J$68)*(1+$K$69)/($K$70-$K$69))/(1+$K$70)^4.5 - $C$11 + $C$12) / $C$9</f>
        <v/>
      </c>
      <c r="G138" s="135">
        <f>(SUM($F$101:$I$101) + (($I$74*(1+G$135))*$B138*(1-$F$65) + ($I$74*(1+G$135))*$J$66 - ($I$74*(1+G$135))*$J$67 - (($I$74*(1+G$135))-$I$74)*$J$68)/(1+$J$70)^4.5 + ((($I$74*(1+G$135))*$B138*(1-$F$65) + ($I$74*(1+G$135))*$J$66 - ($I$74*(1+G$135))*$J$67 - (($I$74*(1+G$135))-$I$74)*$J$68)*(1+$K$69)/($K$70-$K$69))/(1+$K$70)^4.5 - $C$11 + $C$12) / $C$9</f>
        <v/>
      </c>
    </row>
    <row r="139">
      <c r="A139" s="120" t="n"/>
      <c r="B139" s="93" t="n">
        <v>0.35</v>
      </c>
      <c r="C139" s="134">
        <f>(SUM($F$101:$I$101) + (($I$74*(1+C$135))*$B139*(1-$F$65) + ($I$74*(1+C$135))*$J$66 - ($I$74*(1+C$135))*$J$67 - (($I$74*(1+C$135))-$I$74)*$J$68)/(1+$J$70)^4.5 + ((($I$74*(1+C$135))*$B139*(1-$F$65) + ($I$74*(1+C$135))*$J$66 - ($I$74*(1+C$135))*$J$67 - (($I$74*(1+C$135))-$I$74)*$J$68)*(1+$K$69)/($K$70-$K$69))/(1+$K$70)^4.5 - $C$11 + $C$12) / $C$9</f>
        <v/>
      </c>
      <c r="D139" s="134">
        <f>(SUM($F$101:$I$101) + (($I$74*(1+D$135))*$B139*(1-$F$65) + ($I$74*(1+D$135))*$J$66 - ($I$74*(1+D$135))*$J$67 - (($I$74*(1+D$135))-$I$74)*$J$68)/(1+$J$70)^4.5 + ((($I$74*(1+D$135))*$B139*(1-$F$65) + ($I$74*(1+D$135))*$J$66 - ($I$74*(1+D$135))*$J$67 - (($I$74*(1+D$135))-$I$74)*$J$68)*(1+$K$69)/($K$70-$K$69))/(1+$K$70)^4.5 - $C$11 + $C$12) / $C$9</f>
        <v/>
      </c>
      <c r="E139" s="134">
        <f>(SUM($F$101:$I$101) + (($I$74*(1+E$135))*$B139*(1-$F$65) + ($I$74*(1+E$135))*$J$66 - ($I$74*(1+E$135))*$J$67 - (($I$74*(1+E$135))-$I$74)*$J$68)/(1+$J$70)^4.5 + ((($I$74*(1+E$135))*$B139*(1-$F$65) + ($I$74*(1+E$135))*$J$66 - ($I$74*(1+E$135))*$J$67 - (($I$74*(1+E$135))-$I$74)*$J$68)*(1+$K$69)/($K$70-$K$69))/(1+$K$70)^4.5 - $C$11 + $C$12) / $C$9</f>
        <v/>
      </c>
      <c r="F139" s="134">
        <f>(SUM($F$101:$I$101) + (($I$74*(1+F$135))*$B139*(1-$F$65) + ($I$74*(1+F$135))*$J$66 - ($I$74*(1+F$135))*$J$67 - (($I$74*(1+F$135))-$I$74)*$J$68)/(1+$J$70)^4.5 + ((($I$74*(1+F$135))*$B139*(1-$F$65) + ($I$74*(1+F$135))*$J$66 - ($I$74*(1+F$135))*$J$67 - (($I$74*(1+F$135))-$I$74)*$J$68)*(1+$K$69)/($K$70-$K$69))/(1+$K$70)^4.5 - $C$11 + $C$12) / $C$9</f>
        <v/>
      </c>
      <c r="G139" s="135">
        <f>(SUM($F$101:$I$101) + (($I$74*(1+G$135))*$B139*(1-$F$65) + ($I$74*(1+G$135))*$J$66 - ($I$74*(1+G$135))*$J$67 - (($I$74*(1+G$135))-$I$74)*$J$68)/(1+$J$70)^4.5 + ((($I$74*(1+G$135))*$B139*(1-$F$65) + ($I$74*(1+G$135))*$J$66 - ($I$74*(1+G$135))*$J$67 - (($I$74*(1+G$135))-$I$74)*$J$68)*(1+$K$69)/($K$70-$K$69))/(1+$K$70)^4.5 - $C$11 + $C$12) / $C$9</f>
        <v/>
      </c>
    </row>
    <row r="140">
      <c r="A140" s="137" t="n"/>
      <c r="B140" s="96" t="n">
        <v>0.4</v>
      </c>
      <c r="C140" s="138">
        <f>(SUM($F$101:$I$101) + (($I$74*(1+C$135))*$B140*(1-$F$65) + ($I$74*(1+C$135))*$J$66 - ($I$74*(1+C$135))*$J$67 - (($I$74*(1+C$135))-$I$74)*$J$68)/(1+$J$70)^4.5 + ((($I$74*(1+C$135))*$B140*(1-$F$65) + ($I$74*(1+C$135))*$J$66 - ($I$74*(1+C$135))*$J$67 - (($I$74*(1+C$135))-$I$74)*$J$68)*(1+$K$69)/($K$70-$K$69))/(1+$K$70)^4.5 - $C$11 + $C$12) / $C$9</f>
        <v/>
      </c>
      <c r="D140" s="138">
        <f>(SUM($F$101:$I$101) + (($I$74*(1+D$135))*$B140*(1-$F$65) + ($I$74*(1+D$135))*$J$66 - ($I$74*(1+D$135))*$J$67 - (($I$74*(1+D$135))-$I$74)*$J$68)/(1+$J$70)^4.5 + ((($I$74*(1+D$135))*$B140*(1-$F$65) + ($I$74*(1+D$135))*$J$66 - ($I$74*(1+D$135))*$J$67 - (($I$74*(1+D$135))-$I$74)*$J$68)*(1+$K$69)/($K$70-$K$69))/(1+$K$70)^4.5 - $C$11 + $C$12) / $C$9</f>
        <v/>
      </c>
      <c r="E140" s="138">
        <f>(SUM($F$101:$I$101) + (($I$74*(1+E$135))*$B140*(1-$F$65) + ($I$74*(1+E$135))*$J$66 - ($I$74*(1+E$135))*$J$67 - (($I$74*(1+E$135))-$I$74)*$J$68)/(1+$J$70)^4.5 + ((($I$74*(1+E$135))*$B140*(1-$F$65) + ($I$74*(1+E$135))*$J$66 - ($I$74*(1+E$135))*$J$67 - (($I$74*(1+E$135))-$I$74)*$J$68)*(1+$K$69)/($K$70-$K$69))/(1+$K$70)^4.5 - $C$11 + $C$12) / $C$9</f>
        <v/>
      </c>
      <c r="F140" s="138">
        <f>(SUM($F$101:$I$101) + (($I$74*(1+F$135))*$B140*(1-$F$65) + ($I$74*(1+F$135))*$J$66 - ($I$74*(1+F$135))*$J$67 - (($I$74*(1+F$135))-$I$74)*$J$68)/(1+$J$70)^4.5 + ((($I$74*(1+F$135))*$B140*(1-$F$65) + ($I$74*(1+F$135))*$J$66 - ($I$74*(1+F$135))*$J$67 - (($I$74*(1+F$135))-$I$74)*$J$68)*(1+$K$69)/($K$70-$K$69))/(1+$K$70)^4.5 - $C$11 + $C$12) / $C$9</f>
        <v/>
      </c>
      <c r="G140" s="139">
        <f>(SUM($F$101:$I$101) + (($I$74*(1+G$135))*$B140*(1-$F$65) + ($I$74*(1+G$135))*$J$66 - ($I$74*(1+G$135))*$J$67 - (($I$74*(1+G$135))-$I$74)*$J$68)/(1+$J$70)^4.5 + ((($I$74*(1+G$135))*$B140*(1-$F$65) + ($I$74*(1+G$135))*$J$66 - ($I$74*(1+G$135))*$J$67 - (($I$74*(1+G$135))-$I$74)*$J$68)*(1+$K$69)/($K$70-$K$69))/(1+$K$70)^4.5 - $C$11 + $C$12) / $C$9</f>
        <v/>
      </c>
    </row>
    <row r="144">
      <c r="A144" s="62" t="inlineStr">
        <is>
          <t>SENSITIVITY ANALYSIS 3: IMPLIED SHARE PRICE ($) — BETA VS RISK-FREE RATE (COST OF EQUITY DRIVERS)</t>
        </is>
      </c>
      <c r="B144" s="63" t="n"/>
      <c r="C144" s="63" t="n"/>
      <c r="D144" s="63" t="n"/>
      <c r="E144" s="63" t="n"/>
      <c r="F144" s="63" t="n"/>
      <c r="G144" s="64" t="n"/>
    </row>
    <row r="145">
      <c r="A145" s="98" t="n"/>
      <c r="B145" s="82" t="inlineStr">
        <is>
          <t>Beta \ Rf</t>
        </is>
      </c>
      <c r="C145" s="140" t="n">
        <v>0.035</v>
      </c>
      <c r="D145" s="140" t="n">
        <v>0.0385</v>
      </c>
      <c r="E145" s="140" t="n">
        <v>0.0425</v>
      </c>
      <c r="F145" s="140" t="n">
        <v>0.0465</v>
      </c>
      <c r="G145" s="141" t="n">
        <v>0.05</v>
      </c>
    </row>
    <row r="146">
      <c r="A146" s="120" t="n"/>
      <c r="B146" s="142" t="n">
        <v>1.15</v>
      </c>
      <c r="C146" s="134">
        <f>((($F$98/(1+(C$145+$B146*WACC!$B$7))^0.5 + $G$98/(1+(C$145+$B146*WACC!$B$7))^1.5 + $H$98/(1+(C$145+$B146*WACC!$B$7))^2.5 + $I$98/(1+(C$145+$B146*WACC!$B$7))^3.5 + $J$98/(1+(C$145+$B146*WACC!$B$7))^4.5) + (($J$98*(1+$K$69)/((C$145+$B146*WACC!$B$7)-$K$69))/(1+(C$145+$B146*WACC!$B$7))^4.5)) - $C$11 + $C$12) / $C$9</f>
        <v/>
      </c>
      <c r="D146" s="134">
        <f>((($F$98/(1+(D$145+$B146*WACC!$B$7))^0.5 + $G$98/(1+(D$145+$B146*WACC!$B$7))^1.5 + $H$98/(1+(D$145+$B146*WACC!$B$7))^2.5 + $I$98/(1+(D$145+$B146*WACC!$B$7))^3.5 + $J$98/(1+(D$145+$B146*WACC!$B$7))^4.5) + (($J$98*(1+$K$69)/((D$145+$B146*WACC!$B$7)-$K$69))/(1+(D$145+$B146*WACC!$B$7))^4.5)) - $C$11 + $C$12) / $C$9</f>
        <v/>
      </c>
      <c r="E146" s="134">
        <f>((($F$98/(1+(E$145+$B146*WACC!$B$7))^0.5 + $G$98/(1+(E$145+$B146*WACC!$B$7))^1.5 + $H$98/(1+(E$145+$B146*WACC!$B$7))^2.5 + $I$98/(1+(E$145+$B146*WACC!$B$7))^3.5 + $J$98/(1+(E$145+$B146*WACC!$B$7))^4.5) + (($J$98*(1+$K$69)/((E$145+$B146*WACC!$B$7)-$K$69))/(1+(E$145+$B146*WACC!$B$7))^4.5)) - $C$11 + $C$12) / $C$9</f>
        <v/>
      </c>
      <c r="F146" s="134">
        <f>((($F$98/(1+(F$145+$B146*WACC!$B$7))^0.5 + $G$98/(1+(F$145+$B146*WACC!$B$7))^1.5 + $H$98/(1+(F$145+$B146*WACC!$B$7))^2.5 + $I$98/(1+(F$145+$B146*WACC!$B$7))^3.5 + $J$98/(1+(F$145+$B146*WACC!$B$7))^4.5) + (($J$98*(1+$K$69)/((F$145+$B146*WACC!$B$7)-$K$69))/(1+(F$145+$B146*WACC!$B$7))^4.5)) - $C$11 + $C$12) / $C$9</f>
        <v/>
      </c>
      <c r="G146" s="135">
        <f>((($F$98/(1+(G$145+$B146*WACC!$B$7))^0.5 + $G$98/(1+(G$145+$B146*WACC!$B$7))^1.5 + $H$98/(1+(G$145+$B146*WACC!$B$7))^2.5 + $I$98/(1+(G$145+$B146*WACC!$B$7))^3.5 + $J$98/(1+(G$145+$B146*WACC!$B$7))^4.5) + (($J$98*(1+$K$69)/((G$145+$B146*WACC!$B$7)-$K$69))/(1+(G$145+$B146*WACC!$B$7))^4.5)) - $C$11 + $C$12) / $C$9</f>
        <v/>
      </c>
    </row>
    <row r="147">
      <c r="A147" s="120" t="n"/>
      <c r="B147" s="142" t="n">
        <v>1.25</v>
      </c>
      <c r="C147" s="134">
        <f>((($F$98/(1+(C$145+$B147*WACC!$B$7))^0.5 + $G$98/(1+(C$145+$B147*WACC!$B$7))^1.5 + $H$98/(1+(C$145+$B147*WACC!$B$7))^2.5 + $I$98/(1+(C$145+$B147*WACC!$B$7))^3.5 + $J$98/(1+(C$145+$B147*WACC!$B$7))^4.5) + (($J$98*(1+$K$69)/((C$145+$B147*WACC!$B$7)-$K$69))/(1+(C$145+$B147*WACC!$B$7))^4.5)) - $C$11 + $C$12) / $C$9</f>
        <v/>
      </c>
      <c r="D147" s="134">
        <f>((($F$98/(1+(D$145+$B147*WACC!$B$7))^0.5 + $G$98/(1+(D$145+$B147*WACC!$B$7))^1.5 + $H$98/(1+(D$145+$B147*WACC!$B$7))^2.5 + $I$98/(1+(D$145+$B147*WACC!$B$7))^3.5 + $J$98/(1+(D$145+$B147*WACC!$B$7))^4.5) + (($J$98*(1+$K$69)/((D$145+$B147*WACC!$B$7)-$K$69))/(1+(D$145+$B147*WACC!$B$7))^4.5)) - $C$11 + $C$12) / $C$9</f>
        <v/>
      </c>
      <c r="E147" s="134">
        <f>((($F$98/(1+(E$145+$B147*WACC!$B$7))^0.5 + $G$98/(1+(E$145+$B147*WACC!$B$7))^1.5 + $H$98/(1+(E$145+$B147*WACC!$B$7))^2.5 + $I$98/(1+(E$145+$B147*WACC!$B$7))^3.5 + $J$98/(1+(E$145+$B147*WACC!$B$7))^4.5) + (($J$98*(1+$K$69)/((E$145+$B147*WACC!$B$7)-$K$69))/(1+(E$145+$B147*WACC!$B$7))^4.5)) - $C$11 + $C$12) / $C$9</f>
        <v/>
      </c>
      <c r="F147" s="134">
        <f>((($F$98/(1+(F$145+$B147*WACC!$B$7))^0.5 + $G$98/(1+(F$145+$B147*WACC!$B$7))^1.5 + $H$98/(1+(F$145+$B147*WACC!$B$7))^2.5 + $I$98/(1+(F$145+$B147*WACC!$B$7))^3.5 + $J$98/(1+(F$145+$B147*WACC!$B$7))^4.5) + (($J$98*(1+$K$69)/((F$145+$B147*WACC!$B$7)-$K$69))/(1+(F$145+$B147*WACC!$B$7))^4.5)) - $C$11 + $C$12) / $C$9</f>
        <v/>
      </c>
      <c r="G147" s="135">
        <f>((($F$98/(1+(G$145+$B147*WACC!$B$7))^0.5 + $G$98/(1+(G$145+$B147*WACC!$B$7))^1.5 + $H$98/(1+(G$145+$B147*WACC!$B$7))^2.5 + $I$98/(1+(G$145+$B147*WACC!$B$7))^3.5 + $J$98/(1+(G$145+$B147*WACC!$B$7))^4.5) + (($J$98*(1+$K$69)/((G$145+$B147*WACC!$B$7)-$K$69))/(1+(G$145+$B147*WACC!$B$7))^4.5)) - $C$11 + $C$12) / $C$9</f>
        <v/>
      </c>
    </row>
    <row r="148">
      <c r="A148" s="120" t="n"/>
      <c r="B148" s="142" t="n">
        <v>1.35</v>
      </c>
      <c r="C148" s="134">
        <f>((($F$98/(1+(C$145+$B148*WACC!$B$7))^0.5 + $G$98/(1+(C$145+$B148*WACC!$B$7))^1.5 + $H$98/(1+(C$145+$B148*WACC!$B$7))^2.5 + $I$98/(1+(C$145+$B148*WACC!$B$7))^3.5 + $J$98/(1+(C$145+$B148*WACC!$B$7))^4.5) + (($J$98*(1+$K$69)/((C$145+$B148*WACC!$B$7)-$K$69))/(1+(C$145+$B148*WACC!$B$7))^4.5)) - $C$11 + $C$12) / $C$9</f>
        <v/>
      </c>
      <c r="D148" s="134">
        <f>((($F$98/(1+(D$145+$B148*WACC!$B$7))^0.5 + $G$98/(1+(D$145+$B148*WACC!$B$7))^1.5 + $H$98/(1+(D$145+$B148*WACC!$B$7))^2.5 + $I$98/(1+(D$145+$B148*WACC!$B$7))^3.5 + $J$98/(1+(D$145+$B148*WACC!$B$7))^4.5) + (($J$98*(1+$K$69)/((D$145+$B148*WACC!$B$7)-$K$69))/(1+(D$145+$B148*WACC!$B$7))^4.5)) - $C$11 + $C$12) / $C$9</f>
        <v/>
      </c>
      <c r="E148" s="136">
        <f>((($F$98/(1+(E$145+$B148*WACC!$B$7))^0.5 + $G$98/(1+(E$145+$B148*WACC!$B$7))^1.5 + $H$98/(1+(E$145+$B148*WACC!$B$7))^2.5 + $I$98/(1+(E$145+$B148*WACC!$B$7))^3.5 + $J$98/(1+(E$145+$B148*WACC!$B$7))^4.5) + (($J$98*(1+$K$69)/((E$145+$B148*WACC!$B$7)-$K$69))/(1+(E$145+$B148*WACC!$B$7))^4.5)) - $C$11 + $C$12) / $C$9</f>
        <v/>
      </c>
      <c r="F148" s="134">
        <f>((($F$98/(1+(F$145+$B148*WACC!$B$7))^0.5 + $G$98/(1+(F$145+$B148*WACC!$B$7))^1.5 + $H$98/(1+(F$145+$B148*WACC!$B$7))^2.5 + $I$98/(1+(F$145+$B148*WACC!$B$7))^3.5 + $J$98/(1+(F$145+$B148*WACC!$B$7))^4.5) + (($J$98*(1+$K$69)/((F$145+$B148*WACC!$B$7)-$K$69))/(1+(F$145+$B148*WACC!$B$7))^4.5)) - $C$11 + $C$12) / $C$9</f>
        <v/>
      </c>
      <c r="G148" s="135">
        <f>((($F$98/(1+(G$145+$B148*WACC!$B$7))^0.5 + $G$98/(1+(G$145+$B148*WACC!$B$7))^1.5 + $H$98/(1+(G$145+$B148*WACC!$B$7))^2.5 + $I$98/(1+(G$145+$B148*WACC!$B$7))^3.5 + $J$98/(1+(G$145+$B148*WACC!$B$7))^4.5) + (($J$98*(1+$K$69)/((G$145+$B148*WACC!$B$7)-$K$69))/(1+(G$145+$B148*WACC!$B$7))^4.5)) - $C$11 + $C$12) / $C$9</f>
        <v/>
      </c>
    </row>
    <row r="149">
      <c r="A149" s="120" t="n"/>
      <c r="B149" s="142" t="n">
        <v>1.45</v>
      </c>
      <c r="C149" s="134">
        <f>((($F$98/(1+(C$145+$B149*WACC!$B$7))^0.5 + $G$98/(1+(C$145+$B149*WACC!$B$7))^1.5 + $H$98/(1+(C$145+$B149*WACC!$B$7))^2.5 + $I$98/(1+(C$145+$B149*WACC!$B$7))^3.5 + $J$98/(1+(C$145+$B149*WACC!$B$7))^4.5) + (($J$98*(1+$K$69)/((C$145+$B149*WACC!$B$7)-$K$69))/(1+(C$145+$B149*WACC!$B$7))^4.5)) - $C$11 + $C$12) / $C$9</f>
        <v/>
      </c>
      <c r="D149" s="134">
        <f>((($F$98/(1+(D$145+$B149*WACC!$B$7))^0.5 + $G$98/(1+(D$145+$B149*WACC!$B$7))^1.5 + $H$98/(1+(D$145+$B149*WACC!$B$7))^2.5 + $I$98/(1+(D$145+$B149*WACC!$B$7))^3.5 + $J$98/(1+(D$145+$B149*WACC!$B$7))^4.5) + (($J$98*(1+$K$69)/((D$145+$B149*WACC!$B$7)-$K$69))/(1+(D$145+$B149*WACC!$B$7))^4.5)) - $C$11 + $C$12) / $C$9</f>
        <v/>
      </c>
      <c r="E149" s="134">
        <f>((($F$98/(1+(E$145+$B149*WACC!$B$7))^0.5 + $G$98/(1+(E$145+$B149*WACC!$B$7))^1.5 + $H$98/(1+(E$145+$B149*WACC!$B$7))^2.5 + $I$98/(1+(E$145+$B149*WACC!$B$7))^3.5 + $J$98/(1+(E$145+$B149*WACC!$B$7))^4.5) + (($J$98*(1+$K$69)/((E$145+$B149*WACC!$B$7)-$K$69))/(1+(E$145+$B149*WACC!$B$7))^4.5)) - $C$11 + $C$12) / $C$9</f>
        <v/>
      </c>
      <c r="F149" s="134">
        <f>((($F$98/(1+(F$145+$B149*WACC!$B$7))^0.5 + $G$98/(1+(F$145+$B149*WACC!$B$7))^1.5 + $H$98/(1+(F$145+$B149*WACC!$B$7))^2.5 + $I$98/(1+(F$145+$B149*WACC!$B$7))^3.5 + $J$98/(1+(F$145+$B149*WACC!$B$7))^4.5) + (($J$98*(1+$K$69)/((F$145+$B149*WACC!$B$7)-$K$69))/(1+(F$145+$B149*WACC!$B$7))^4.5)) - $C$11 + $C$12) / $C$9</f>
        <v/>
      </c>
      <c r="G149" s="135">
        <f>((($F$98/(1+(G$145+$B149*WACC!$B$7))^0.5 + $G$98/(1+(G$145+$B149*WACC!$B$7))^1.5 + $H$98/(1+(G$145+$B149*WACC!$B$7))^2.5 + $I$98/(1+(G$145+$B149*WACC!$B$7))^3.5 + $J$98/(1+(G$145+$B149*WACC!$B$7))^4.5) + (($J$98*(1+$K$69)/((G$145+$B149*WACC!$B$7)-$K$69))/(1+(G$145+$B149*WACC!$B$7))^4.5)) - $C$11 + $C$12) / $C$9</f>
        <v/>
      </c>
    </row>
    <row r="150">
      <c r="A150" s="137" t="n"/>
      <c r="B150" s="143" t="n">
        <v>1.55</v>
      </c>
      <c r="C150" s="138">
        <f>((($F$98/(1+(C$145+$B150*WACC!$B$7))^0.5 + $G$98/(1+(C$145+$B150*WACC!$B$7))^1.5 + $H$98/(1+(C$145+$B150*WACC!$B$7))^2.5 + $I$98/(1+(C$145+$B150*WACC!$B$7))^3.5 + $J$98/(1+(C$145+$B150*WACC!$B$7))^4.5) + (($J$98*(1+$K$69)/((C$145+$B150*WACC!$B$7)-$K$69))/(1+(C$145+$B150*WACC!$B$7))^4.5)) - $C$11 + $C$12) / $C$9</f>
        <v/>
      </c>
      <c r="D150" s="138">
        <f>((($F$98/(1+(D$145+$B150*WACC!$B$7))^0.5 + $G$98/(1+(D$145+$B150*WACC!$B$7))^1.5 + $H$98/(1+(D$145+$B150*WACC!$B$7))^2.5 + $I$98/(1+(D$145+$B150*WACC!$B$7))^3.5 + $J$98/(1+(D$145+$B150*WACC!$B$7))^4.5) + (($J$98*(1+$K$69)/((D$145+$B150*WACC!$B$7)-$K$69))/(1+(D$145+$B150*WACC!$B$7))^4.5)) - $C$11 + $C$12) / $C$9</f>
        <v/>
      </c>
      <c r="E150" s="138">
        <f>((($F$98/(1+(E$145+$B150*WACC!$B$7))^0.5 + $G$98/(1+(E$145+$B150*WACC!$B$7))^1.5 + $H$98/(1+(E$145+$B150*WACC!$B$7))^2.5 + $I$98/(1+(E$145+$B150*WACC!$B$7))^3.5 + $J$98/(1+(E$145+$B150*WACC!$B$7))^4.5) + (($J$98*(1+$K$69)/((E$145+$B150*WACC!$B$7)-$K$69))/(1+(E$145+$B150*WACC!$B$7))^4.5)) - $C$11 + $C$12) / $C$9</f>
        <v/>
      </c>
      <c r="F150" s="138">
        <f>((($F$98/(1+(F$145+$B150*WACC!$B$7))^0.5 + $G$98/(1+(F$145+$B150*WACC!$B$7))^1.5 + $H$98/(1+(F$145+$B150*WACC!$B$7))^2.5 + $I$98/(1+(F$145+$B150*WACC!$B$7))^3.5 + $J$98/(1+(F$145+$B150*WACC!$B$7))^4.5) + (($J$98*(1+$K$69)/((F$145+$B150*WACC!$B$7)-$K$69))/(1+(F$145+$B150*WACC!$B$7))^4.5)) - $C$11 + $C$12) / $C$9</f>
        <v/>
      </c>
      <c r="G150" s="139">
        <f>((($F$98/(1+(G$145+$B150*WACC!$B$7))^0.5 + $G$98/(1+(G$145+$B150*WACC!$B$7))^1.5 + $H$98/(1+(G$145+$B150*WACC!$B$7))^2.5 + $I$98/(1+(G$145+$B150*WACC!$B$7))^3.5 + $J$98/(1+(G$145+$B150*WACC!$B$7))^4.5) + (($J$98*(1+$K$69)/((G$145+$B150*WACC!$B$7)-$K$69))/(1+(G$145+$B150*WACC!$B$7))^4.5)) - $C$11 + $C$12) / $C$9</f>
        <v/>
      </c>
    </row>
  </sheetData>
  <mergeCells count="16">
    <mergeCell ref="A103:K103"/>
    <mergeCell ref="A58:K58"/>
    <mergeCell ref="A30:K30"/>
    <mergeCell ref="A96:K96"/>
    <mergeCell ref="A88:J88"/>
    <mergeCell ref="A4:D4"/>
    <mergeCell ref="A124:G124"/>
    <mergeCell ref="A144:G144"/>
    <mergeCell ref="A2:K2"/>
    <mergeCell ref="A16:K16"/>
    <mergeCell ref="A7:D7"/>
    <mergeCell ref="A109:D109"/>
    <mergeCell ref="A134:G134"/>
    <mergeCell ref="A72:J72"/>
    <mergeCell ref="A44:K44"/>
    <mergeCell ref="A1:K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s="1" t="inlineStr">
        <is>
          <t>Space Exploration Technologies Corp. (SpaceX) - Cost of Capital (WACC)</t>
        </is>
      </c>
    </row>
    <row r="2">
      <c r="A2" s="2" t="inlineStr">
        <is>
          <t>Ticker: SPCX | Valuation Date: August 19, 2026 | Currency: USD in Millions ($M)</t>
        </is>
      </c>
    </row>
    <row r="4">
      <c r="A4" s="62" t="inlineStr">
        <is>
          <t>1. COST OF EQUITY CALCULATION (CAPM METHODOLOGY)</t>
        </is>
      </c>
      <c r="B4" s="63" t="n"/>
      <c r="C4" s="63" t="n"/>
      <c r="D4" s="63" t="n"/>
      <c r="E4" s="64" t="n"/>
    </row>
    <row r="5">
      <c r="A5" s="69" t="inlineStr">
        <is>
          <t>Risk-Free Rate (10-Year US Treasury Yield)</t>
        </is>
      </c>
      <c r="B5" s="144" t="n">
        <v>0.0425</v>
      </c>
      <c r="C5" s="70" t="n"/>
      <c r="D5" s="70" t="n"/>
      <c r="E5" s="72" t="n"/>
    </row>
    <row r="6">
      <c r="A6" s="69" t="inlineStr">
        <is>
          <t>Market Beta (5Y Monthly / Aerospace &amp; Tech Blend)</t>
        </is>
      </c>
      <c r="B6" s="145" t="n">
        <v>1.35</v>
      </c>
      <c r="C6" s="70" t="n"/>
      <c r="D6" s="70" t="n"/>
      <c r="E6" s="72" t="n"/>
    </row>
    <row r="7">
      <c r="A7" s="69" t="inlineStr">
        <is>
          <t>Equity Risk Premium (ERP)</t>
        </is>
      </c>
      <c r="B7" s="144" t="n">
        <v>0.055</v>
      </c>
      <c r="C7" s="70" t="n"/>
      <c r="D7" s="70" t="n"/>
      <c r="E7" s="72" t="n"/>
    </row>
    <row r="8">
      <c r="A8" s="65" t="inlineStr">
        <is>
          <t>Cost of Equity (Ke = Rf + Beta * ERP)</t>
        </is>
      </c>
      <c r="B8" s="146">
        <f>B5+B6*B7</f>
        <v/>
      </c>
      <c r="C8" s="78" t="n"/>
      <c r="D8" s="78" t="n"/>
      <c r="E8" s="80" t="n"/>
    </row>
    <row r="10">
      <c r="A10" s="62" t="inlineStr">
        <is>
          <t>2. COST OF DEBT CALCULATION</t>
        </is>
      </c>
      <c r="B10" s="63" t="n"/>
      <c r="C10" s="63" t="n"/>
      <c r="D10" s="63" t="n"/>
      <c r="E10" s="64" t="n"/>
    </row>
    <row r="11">
      <c r="A11" s="69" t="inlineStr">
        <is>
          <t>Pre-Tax Cost of Debt</t>
        </is>
      </c>
      <c r="B11" s="144" t="n">
        <v>0.065</v>
      </c>
      <c r="C11" s="70" t="n"/>
      <c r="D11" s="70" t="n"/>
      <c r="E11" s="72" t="n"/>
    </row>
    <row r="12">
      <c r="A12" s="69" t="inlineStr">
        <is>
          <t>Effective Corporate Tax Rate</t>
        </is>
      </c>
      <c r="B12" s="147">
        <f>DCF!$F$65</f>
        <v/>
      </c>
      <c r="C12" s="70" t="n"/>
      <c r="D12" s="70" t="n"/>
      <c r="E12" s="72" t="n"/>
    </row>
    <row r="13">
      <c r="A13" s="65" t="inlineStr">
        <is>
          <t>After-Tax Cost of Debt (Kd = Pre-Tax * (1 - Tax Rate))</t>
        </is>
      </c>
      <c r="B13" s="146">
        <f>B11*(1-B12)</f>
        <v/>
      </c>
      <c r="C13" s="78" t="n"/>
      <c r="D13" s="78" t="n"/>
      <c r="E13" s="80" t="n"/>
    </row>
    <row r="15">
      <c r="A15" s="62" t="inlineStr">
        <is>
          <t>3. CAPITAL STRUCTURE &amp; WEIGHTED AVERAGE COST OF CAPITAL (WACC)</t>
        </is>
      </c>
      <c r="B15" s="63" t="n"/>
      <c r="C15" s="63" t="n"/>
      <c r="D15" s="63" t="n"/>
      <c r="E15" s="64" t="n"/>
    </row>
    <row r="16">
      <c r="A16" s="148" t="inlineStr">
        <is>
          <t>Capital Component</t>
        </is>
      </c>
      <c r="B16" s="51" t="inlineStr">
        <is>
          <t>Market Value ($M)</t>
        </is>
      </c>
      <c r="C16" s="51" t="inlineStr">
        <is>
          <t>Capital Weight (%)</t>
        </is>
      </c>
      <c r="D16" s="51" t="inlineStr">
        <is>
          <t>Cost of Capital (%)</t>
        </is>
      </c>
      <c r="E16" s="149" t="inlineStr">
        <is>
          <t>Weighted Contribution (%)</t>
        </is>
      </c>
    </row>
    <row r="17">
      <c r="A17" s="150" t="inlineStr">
        <is>
          <t>Market Capitalization (Equity)</t>
        </is>
      </c>
      <c r="B17" s="151">
        <f>DCF!$C$10</f>
        <v/>
      </c>
      <c r="C17" s="152">
        <f>B17/$B$19</f>
        <v/>
      </c>
      <c r="D17" s="55">
        <f>B8</f>
        <v/>
      </c>
      <c r="E17" s="153">
        <f>C17*D17</f>
        <v/>
      </c>
    </row>
    <row r="18">
      <c r="A18" s="150" t="inlineStr">
        <is>
          <t>Total Debt &amp; Lease Obligations</t>
        </is>
      </c>
      <c r="B18" s="151">
        <f>DCF!$C$11</f>
        <v/>
      </c>
      <c r="C18" s="152">
        <f>B18/$B$19</f>
        <v/>
      </c>
      <c r="D18" s="55">
        <f>B13</f>
        <v/>
      </c>
      <c r="E18" s="153">
        <f>C18*D18</f>
        <v/>
      </c>
    </row>
    <row r="19">
      <c r="A19" s="154" t="inlineStr">
        <is>
          <t>Total Capital (Equity + Debt)</t>
        </is>
      </c>
      <c r="B19" s="155">
        <f>B17+B18</f>
        <v/>
      </c>
      <c r="C19" s="156">
        <f>SUM(C17:C18)</f>
        <v/>
      </c>
      <c r="D19" s="59" t="inlineStr">
        <is>
          <t>-</t>
        </is>
      </c>
      <c r="E19" s="157">
        <f>SUM(E17:E18)</f>
        <v/>
      </c>
    </row>
    <row r="20">
      <c r="A20" s="120" t="n"/>
      <c r="B20" s="70" t="n"/>
      <c r="C20" s="70" t="n"/>
      <c r="D20" s="70" t="n"/>
      <c r="E20" s="72" t="n"/>
    </row>
    <row r="21">
      <c r="A21" s="122" t="inlineStr">
        <is>
          <t>WEIGHTED AVERAGE COST OF CAPITAL (WACC)</t>
        </is>
      </c>
      <c r="B21" s="158">
        <f>E19</f>
        <v/>
      </c>
      <c r="C21" s="78" t="n"/>
      <c r="D21" s="78" t="n"/>
      <c r="E21" s="80" t="n"/>
    </row>
  </sheetData>
  <mergeCells count="5">
    <mergeCell ref="A4:E4"/>
    <mergeCell ref="A2:E2"/>
    <mergeCell ref="A15:E15"/>
    <mergeCell ref="A10:E10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2026-08-19T06:46:01Z</dcterms:created>
  <dcterms:modified xmlns:dcterms="http://purl.org/dc/terms/" xmlns:xsi="http://www.w3.org/2001/XMLSchema-instance" xsi:type="dcterms:W3CDTF">2026-08-19T06:46:20Z</dcterms:modified>
</cp:coreProperties>
</file>