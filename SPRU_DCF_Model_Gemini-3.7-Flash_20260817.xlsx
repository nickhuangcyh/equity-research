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($#,##0.00);($#,##0.00);$0.00"/>
    <numFmt numFmtId="167" formatCode="0.0"/>
    <numFmt numFmtId="168" formatCode="0.0000"/>
    <numFmt numFmtId="169" formatCode="+0.0%;-0.0%;0.0%"/>
    <numFmt numFmtId="170" formatCode="$#,##0.00;($#,##0.00);$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0"/>
    </font>
    <font>
      <name val="Calibri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7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165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0" fontId="7" fillId="4" borderId="3" pivotButton="0" quotePrefix="0" xfId="0"/>
    <xf numFmtId="0" fontId="0" fillId="4" borderId="3" applyAlignment="1" pivotButton="0" quotePrefix="0" xfId="0">
      <alignment horizontal="center" vertical="center"/>
    </xf>
    <xf numFmtId="164" fontId="7" fillId="4" borderId="3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right" vertical="center"/>
    </xf>
    <xf numFmtId="0" fontId="3" fillId="3" borderId="3" pivotButton="0" quotePrefix="0" xfId="0"/>
    <xf numFmtId="164" fontId="3" fillId="3" borderId="3" applyAlignment="1" pivotButton="0" quotePrefix="0" xfId="0">
      <alignment horizontal="right" vertical="center"/>
    </xf>
    <xf numFmtId="0" fontId="0" fillId="3" borderId="3" pivotButton="0" quotePrefix="0" xfId="0"/>
    <xf numFmtId="164" fontId="3" fillId="4" borderId="1" applyAlignment="1" pivotButton="0" quotePrefix="0" xfId="0">
      <alignment horizontal="right" vertical="center"/>
    </xf>
    <xf numFmtId="169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165" fontId="3" fillId="3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170" fontId="3" fillId="4" borderId="1" applyAlignment="1" pivotButton="0" quotePrefix="0" xfId="0">
      <alignment horizontal="right" vertical="center"/>
    </xf>
    <xf numFmtId="10" fontId="3" fillId="3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Model Builder</author>
    <author>SEC 10-Q</author>
  </authors>
  <commentList>
    <comment ref="B4" authorId="0" shapeId="0">
      <text>
        <t>Case Selector: 1 = Bear Case, 2 = Base Case, 3 = Bull Case</t>
      </text>
    </comment>
    <comment ref="B7" authorId="1" shapeId="0">
      <text>
        <t>Market close price as of August 2026</t>
      </text>
    </comment>
    <comment ref="B8" authorId="1" shapeId="0">
      <text>
        <t>SEC Form 10-Q filed August 13, 2026 (Common shares 21.12M)</t>
      </text>
    </comment>
    <comment ref="B10" authorId="1" shapeId="0">
      <text>
        <t>SEC Form 10-Q June 30, 2026 (Unrestricted cash)</t>
      </text>
    </comment>
    <comment ref="B11" authorId="1" shapeId="0">
      <text>
        <t>SEC Form 10-Q June 30, 2026 (Project debt debt-service reserve)</t>
      </text>
    </comment>
    <comment ref="B13" authorId="1" shapeId="0">
      <text>
        <t>SEC Form 10-Q June 30, 2026 (Current portion of non-recourse debt)</t>
      </text>
    </comment>
    <comment ref="B14" authorId="1" shapeId="0">
      <text>
        <t>SEC Form 10-Q June 30, 2026 (Long-term non-recourse debt)</t>
      </text>
    </comment>
    <comment ref="B17" authorId="1" shapeId="0">
      <text>
        <t>US Federal statutory corporate income tax rate</t>
      </text>
    </comment>
    <comment ref="B50" authorId="1" shapeId="0">
      <text>
        <t>LTM Revenue as of June 30, 2026 Form 10-Q</t>
      </text>
    </comment>
    <comment ref="B52" authorId="1" shapeId="0">
      <text>
        <t>LTM EBIT as of June 30, 2026 Form 10-Q</t>
      </text>
    </comment>
    <comment ref="B55" authorId="1" shapeId="0">
      <text>
        <t>LTM D&amp;A from Form 10-Q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Spruce Power Holding Corporation (NYSE: SPRU)</t>
        </is>
      </c>
    </row>
    <row r="2">
      <c r="A2" s="2" t="inlineStr">
        <is>
          <t>Institutional DCF Valuation Model | Report Date: August 17, 2026 | Generated by: Gemini 3.7 Flash | SEC 10-Q (Q2 2026)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CASE",IF(B4=2,"[2] BASE CASE (Active)","[3] BULL CASE"))</f>
        <v/>
      </c>
    </row>
    <row r="6">
      <c r="A6" s="6" t="inlineStr">
        <is>
          <t>I. MARKET DATA &amp; BALANCE SHEET INPUTS (as of Q2 2026 Form 10-Q)</t>
        </is>
      </c>
      <c r="B6" s="7" t="n"/>
      <c r="C6" s="7" t="n"/>
      <c r="D6" s="7" t="n"/>
      <c r="E6" s="7" t="n"/>
      <c r="F6" s="7" t="n"/>
      <c r="G6" s="7" t="n"/>
    </row>
    <row r="7">
      <c r="A7" s="8" t="inlineStr">
        <is>
          <t>Current Stock Price ($)</t>
        </is>
      </c>
      <c r="B7" s="9" t="n">
        <v>1.81</v>
      </c>
    </row>
    <row r="8">
      <c r="A8" s="8" t="inlineStr">
        <is>
          <t>Diluted Shares Outstanding (M)</t>
        </is>
      </c>
      <c r="B8" s="10" t="n">
        <v>21.12</v>
      </c>
    </row>
    <row r="9">
      <c r="A9" s="11" t="inlineStr">
        <is>
          <t>Implied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44.66</v>
      </c>
    </row>
    <row r="11">
      <c r="A11" s="8" t="inlineStr">
        <is>
          <t>Restricted Cash ($M)</t>
        </is>
      </c>
      <c r="B11" s="9" t="n">
        <v>36.883</v>
      </c>
    </row>
    <row r="12">
      <c r="A12" s="11" t="inlineStr">
        <is>
          <t>Total Cash &amp; Restricted Cash ($M)</t>
        </is>
      </c>
      <c r="B12" s="12">
        <f>B10+B11</f>
        <v/>
      </c>
    </row>
    <row r="13">
      <c r="A13" s="8" t="inlineStr">
        <is>
          <t>Current Non-Recourse Debt ($M)</t>
        </is>
      </c>
      <c r="B13" s="9" t="n">
        <v>269.617</v>
      </c>
    </row>
    <row r="14">
      <c r="A14" s="8" t="inlineStr">
        <is>
          <t>Non-Current Non-Recourse Debt ($M)</t>
        </is>
      </c>
      <c r="B14" s="9" t="n">
        <v>392.958</v>
      </c>
    </row>
    <row r="15">
      <c r="A15" s="11" t="inlineStr">
        <is>
          <t>Total Non-Recourse Debt ($M)</t>
        </is>
      </c>
      <c r="B15" s="12">
        <f>B13+B14</f>
        <v/>
      </c>
    </row>
    <row r="16">
      <c r="A16" s="11" t="inlineStr">
        <is>
          <t>Net Debt ($M)</t>
        </is>
      </c>
      <c r="B16" s="12">
        <f>B15-B12</f>
        <v/>
      </c>
    </row>
    <row r="17">
      <c r="A17" s="8" t="inlineStr">
        <is>
          <t>Effective Tax Rate (%)</t>
        </is>
      </c>
      <c r="B17" s="13" t="n">
        <v>0.21</v>
      </c>
    </row>
    <row r="19">
      <c r="A19" s="6" t="inlineStr">
        <is>
          <t>II. SCENARIO ASSUMPTIONS &amp; DRIVER BLOCKS</t>
        </is>
      </c>
      <c r="B19" s="7" t="n"/>
      <c r="C19" s="7" t="n"/>
      <c r="D19" s="7" t="n"/>
      <c r="E19" s="7" t="n"/>
      <c r="F19" s="7" t="n"/>
      <c r="G19" s="7" t="n"/>
    </row>
    <row r="20">
      <c r="A20" s="14" t="inlineStr">
        <is>
          <t>Driver / Assumption</t>
        </is>
      </c>
      <c r="B20" s="15" t="inlineStr">
        <is>
          <t>FY2026E</t>
        </is>
      </c>
      <c r="C20" s="15" t="inlineStr">
        <is>
          <t>FY2027E</t>
        </is>
      </c>
      <c r="D20" s="15" t="inlineStr">
        <is>
          <t>FY2028E</t>
        </is>
      </c>
      <c r="E20" s="15" t="inlineStr">
        <is>
          <t>FY2029E</t>
        </is>
      </c>
      <c r="F20" s="15" t="inlineStr">
        <is>
          <t>FY2030E</t>
        </is>
      </c>
      <c r="G20" s="15" t="inlineStr">
        <is>
          <t>Terminal / WACC</t>
        </is>
      </c>
    </row>
    <row r="21">
      <c r="A21" s="16" t="inlineStr">
        <is>
          <t>Bear Case Assumptions (Selector = 1)</t>
        </is>
      </c>
      <c r="B21" s="17" t="n"/>
      <c r="C21" s="17" t="n"/>
      <c r="D21" s="17" t="n"/>
      <c r="E21" s="17" t="n"/>
      <c r="F21" s="17" t="n"/>
      <c r="G21" s="17" t="n"/>
    </row>
    <row r="22">
      <c r="A22" s="8" t="inlineStr">
        <is>
          <t xml:space="preserve">  Revenue Growth (%)</t>
        </is>
      </c>
      <c r="B22" s="13" t="n">
        <v>0.02</v>
      </c>
      <c r="C22" s="13" t="n">
        <v>0.02</v>
      </c>
      <c r="D22" s="13" t="n">
        <v>0.015</v>
      </c>
      <c r="E22" s="13" t="n">
        <v>0.015</v>
      </c>
      <c r="F22" s="13" t="n">
        <v>0.01</v>
      </c>
      <c r="G22" s="13" t="n">
        <v>0.015</v>
      </c>
    </row>
    <row r="23">
      <c r="A23" s="8" t="inlineStr">
        <is>
          <t xml:space="preserve">  EBIT Margin (%)</t>
        </is>
      </c>
      <c r="B23" s="13" t="n">
        <v>0.2</v>
      </c>
      <c r="C23" s="13" t="n">
        <v>0.195</v>
      </c>
      <c r="D23" s="13" t="n">
        <v>0.19</v>
      </c>
      <c r="E23" s="13" t="n">
        <v>0.185</v>
      </c>
      <c r="F23" s="13" t="n">
        <v>0.18</v>
      </c>
      <c r="G23" s="13" t="n">
        <v>0.105</v>
      </c>
    </row>
    <row r="24">
      <c r="A24" s="8" t="inlineStr">
        <is>
          <t xml:space="preserve">  D&amp;A (% of Revenue)</t>
        </is>
      </c>
      <c r="B24" s="13" t="n">
        <v>0.28</v>
      </c>
      <c r="C24" s="13" t="n">
        <v>0.28</v>
      </c>
      <c r="D24" s="13" t="n">
        <v>0.28</v>
      </c>
      <c r="E24" s="13" t="n">
        <v>0.28</v>
      </c>
      <c r="F24" s="13" t="n">
        <v>0.28</v>
      </c>
      <c r="G24" s="18" t="inlineStr"/>
    </row>
    <row r="25">
      <c r="A25" s="8" t="inlineStr">
        <is>
          <t xml:space="preserve">  CapEx (% of Revenue)</t>
        </is>
      </c>
      <c r="B25" s="13" t="n">
        <v>0.035</v>
      </c>
      <c r="C25" s="13" t="n">
        <v>0.035</v>
      </c>
      <c r="D25" s="13" t="n">
        <v>0.035</v>
      </c>
      <c r="E25" s="13" t="n">
        <v>0.035</v>
      </c>
      <c r="F25" s="13" t="n">
        <v>0.035</v>
      </c>
      <c r="G25" s="18" t="inlineStr"/>
    </row>
    <row r="26">
      <c r="A26" s="8" t="inlineStr">
        <is>
          <t xml:space="preserve">  Δ NWC (% of Δ Revenue)</t>
        </is>
      </c>
      <c r="B26" s="13" t="n">
        <v>0.015</v>
      </c>
      <c r="C26" s="13" t="n">
        <v>0.015</v>
      </c>
      <c r="D26" s="13" t="n">
        <v>0.015</v>
      </c>
      <c r="E26" s="13" t="n">
        <v>0.015</v>
      </c>
      <c r="F26" s="13" t="n">
        <v>0.015</v>
      </c>
      <c r="G26" s="18" t="inlineStr"/>
    </row>
    <row r="27">
      <c r="A27" s="16" t="inlineStr">
        <is>
          <t>Base Case Assumptions (Selector = 2)</t>
        </is>
      </c>
      <c r="B27" s="17" t="n"/>
      <c r="C27" s="17" t="n"/>
      <c r="D27" s="17" t="n"/>
      <c r="E27" s="17" t="n"/>
      <c r="F27" s="17" t="n"/>
      <c r="G27" s="17" t="n"/>
    </row>
    <row r="28">
      <c r="A28" s="8" t="inlineStr">
        <is>
          <t xml:space="preserve">  Revenue Growth (%)</t>
        </is>
      </c>
      <c r="B28" s="13" t="n">
        <v>0.05</v>
      </c>
      <c r="C28" s="13" t="n">
        <v>0.045</v>
      </c>
      <c r="D28" s="13" t="n">
        <v>0.04</v>
      </c>
      <c r="E28" s="13" t="n">
        <v>0.035</v>
      </c>
      <c r="F28" s="13" t="n">
        <v>0.03</v>
      </c>
      <c r="G28" s="13" t="n">
        <v>0.025</v>
      </c>
    </row>
    <row r="29">
      <c r="A29" s="8" t="inlineStr">
        <is>
          <t xml:space="preserve">  EBIT Margin (%)</t>
        </is>
      </c>
      <c r="B29" s="13" t="n">
        <v>0.225</v>
      </c>
      <c r="C29" s="13" t="n">
        <v>0.23</v>
      </c>
      <c r="D29" s="13" t="n">
        <v>0.235</v>
      </c>
      <c r="E29" s="13" t="n">
        <v>0.24</v>
      </c>
      <c r="F29" s="13" t="n">
        <v>0.25</v>
      </c>
      <c r="G29" s="13" t="n">
        <v>0.095</v>
      </c>
    </row>
    <row r="30">
      <c r="A30" s="8" t="inlineStr">
        <is>
          <t xml:space="preserve">  D&amp;A (% of Revenue)</t>
        </is>
      </c>
      <c r="B30" s="13" t="n">
        <v>0.28</v>
      </c>
      <c r="C30" s="13" t="n">
        <v>0.28</v>
      </c>
      <c r="D30" s="13" t="n">
        <v>0.28</v>
      </c>
      <c r="E30" s="13" t="n">
        <v>0.28</v>
      </c>
      <c r="F30" s="13" t="n">
        <v>0.28</v>
      </c>
      <c r="G30" s="18" t="inlineStr"/>
    </row>
    <row r="31">
      <c r="A31" s="8" t="inlineStr">
        <is>
          <t xml:space="preserve">  CapEx (% of Revenue)</t>
        </is>
      </c>
      <c r="B31" s="13" t="n">
        <v>0.032</v>
      </c>
      <c r="C31" s="13" t="n">
        <v>0.032</v>
      </c>
      <c r="D31" s="13" t="n">
        <v>0.032</v>
      </c>
      <c r="E31" s="13" t="n">
        <v>0.032</v>
      </c>
      <c r="F31" s="13" t="n">
        <v>0.032</v>
      </c>
      <c r="G31" s="18" t="inlineStr"/>
    </row>
    <row r="32">
      <c r="A32" s="8" t="inlineStr">
        <is>
          <t xml:space="preserve">  Δ NWC (% of Δ Revenue)</t>
        </is>
      </c>
      <c r="B32" s="13" t="n">
        <v>0.015</v>
      </c>
      <c r="C32" s="13" t="n">
        <v>0.015</v>
      </c>
      <c r="D32" s="13" t="n">
        <v>0.015</v>
      </c>
      <c r="E32" s="13" t="n">
        <v>0.015</v>
      </c>
      <c r="F32" s="13" t="n">
        <v>0.015</v>
      </c>
      <c r="G32" s="18" t="inlineStr"/>
    </row>
    <row r="33">
      <c r="A33" s="16" t="inlineStr">
        <is>
          <t>Bull Case Assumptions (Selector = 3)</t>
        </is>
      </c>
      <c r="B33" s="17" t="n"/>
      <c r="C33" s="17" t="n"/>
      <c r="D33" s="17" t="n"/>
      <c r="E33" s="17" t="n"/>
      <c r="F33" s="17" t="n"/>
      <c r="G33" s="17" t="n"/>
    </row>
    <row r="34">
      <c r="A34" s="8" t="inlineStr">
        <is>
          <t xml:space="preserve">  Revenue Growth (%)</t>
        </is>
      </c>
      <c r="B34" s="13" t="n">
        <v>0.08</v>
      </c>
      <c r="C34" s="13" t="n">
        <v>0.07000000000000001</v>
      </c>
      <c r="D34" s="13" t="n">
        <v>0.06</v>
      </c>
      <c r="E34" s="13" t="n">
        <v>0.05</v>
      </c>
      <c r="F34" s="13" t="n">
        <v>0.04</v>
      </c>
      <c r="G34" s="13" t="n">
        <v>0.03</v>
      </c>
    </row>
    <row r="35">
      <c r="A35" s="8" t="inlineStr">
        <is>
          <t xml:space="preserve">  EBIT Margin (%)</t>
        </is>
      </c>
      <c r="B35" s="13" t="n">
        <v>0.24</v>
      </c>
      <c r="C35" s="13" t="n">
        <v>0.25</v>
      </c>
      <c r="D35" s="13" t="n">
        <v>0.26</v>
      </c>
      <c r="E35" s="13" t="n">
        <v>0.27</v>
      </c>
      <c r="F35" s="13" t="n">
        <v>0.28</v>
      </c>
      <c r="G35" s="13" t="n">
        <v>0.09</v>
      </c>
    </row>
    <row r="36">
      <c r="A36" s="8" t="inlineStr">
        <is>
          <t xml:space="preserve">  D&amp;A (% of Revenue)</t>
        </is>
      </c>
      <c r="B36" s="13" t="n">
        <v>0.28</v>
      </c>
      <c r="C36" s="13" t="n">
        <v>0.28</v>
      </c>
      <c r="D36" s="13" t="n">
        <v>0.28</v>
      </c>
      <c r="E36" s="13" t="n">
        <v>0.28</v>
      </c>
      <c r="F36" s="13" t="n">
        <v>0.28</v>
      </c>
      <c r="G36" s="18" t="inlineStr"/>
    </row>
    <row r="37">
      <c r="A37" s="8" t="inlineStr">
        <is>
          <t xml:space="preserve">  CapEx (% of Revenue)</t>
        </is>
      </c>
      <c r="B37" s="13" t="n">
        <v>0.03</v>
      </c>
      <c r="C37" s="13" t="n">
        <v>0.03</v>
      </c>
      <c r="D37" s="13" t="n">
        <v>0.03</v>
      </c>
      <c r="E37" s="13" t="n">
        <v>0.03</v>
      </c>
      <c r="F37" s="13" t="n">
        <v>0.03</v>
      </c>
      <c r="G37" s="18" t="inlineStr"/>
    </row>
    <row r="38">
      <c r="A38" s="8" t="inlineStr">
        <is>
          <t xml:space="preserve">  Δ NWC (% of Δ Revenue)</t>
        </is>
      </c>
      <c r="B38" s="13" t="n">
        <v>0.015</v>
      </c>
      <c r="C38" s="13" t="n">
        <v>0.015</v>
      </c>
      <c r="D38" s="13" t="n">
        <v>0.015</v>
      </c>
      <c r="E38" s="13" t="n">
        <v>0.015</v>
      </c>
      <c r="F38" s="13" t="n">
        <v>0.015</v>
      </c>
      <c r="G38" s="18" t="inlineStr"/>
    </row>
    <row r="39">
      <c r="A39" s="19" t="inlineStr">
        <is>
          <t>Active Scenario Consolidated Drivers (Dynamic)</t>
        </is>
      </c>
      <c r="B39" s="20" t="n"/>
      <c r="C39" s="20" t="n"/>
      <c r="D39" s="20" t="n"/>
      <c r="E39" s="20" t="n"/>
      <c r="F39" s="20" t="n"/>
      <c r="G39" s="20" t="n"/>
    </row>
    <row r="40">
      <c r="A40" s="11" t="inlineStr">
        <is>
          <t xml:space="preserve">  Selected Revenue Growth (%)</t>
        </is>
      </c>
      <c r="B40" s="21">
        <f>CHOOSE($B$4, B22, B28, B34)</f>
        <v/>
      </c>
      <c r="C40" s="21">
        <f>CHOOSE($B$4, C22, C28, C34)</f>
        <v/>
      </c>
      <c r="D40" s="21">
        <f>CHOOSE($B$4, D22, D28, D34)</f>
        <v/>
      </c>
      <c r="E40" s="21">
        <f>CHOOSE($B$4, E22, E28, E34)</f>
        <v/>
      </c>
      <c r="F40" s="21">
        <f>CHOOSE($B$4, F22, F28, F34)</f>
        <v/>
      </c>
      <c r="G40" s="21">
        <f>CHOOSE($B$4, G22, G28, G34)</f>
        <v/>
      </c>
    </row>
    <row r="41">
      <c r="A41" s="11" t="inlineStr">
        <is>
          <t xml:space="preserve">  Selected EBIT Margin (%)</t>
        </is>
      </c>
      <c r="B41" s="21">
        <f>CHOOSE($B$4, B23, B29, B35)</f>
        <v/>
      </c>
      <c r="C41" s="21">
        <f>CHOOSE($B$4, C23, C29, C35)</f>
        <v/>
      </c>
      <c r="D41" s="21">
        <f>CHOOSE($B$4, D23, D29, D35)</f>
        <v/>
      </c>
      <c r="E41" s="21">
        <f>CHOOSE($B$4, E23, E29, E35)</f>
        <v/>
      </c>
      <c r="F41" s="21">
        <f>CHOOSE($B$4, F23, F29, F35)</f>
        <v/>
      </c>
      <c r="G41" s="21">
        <f>CHOOSE($B$4, G23, G29, G35)</f>
        <v/>
      </c>
    </row>
    <row r="42">
      <c r="A42" s="11" t="inlineStr">
        <is>
          <t xml:space="preserve">  Selected D&amp;A (% of Revenue)</t>
        </is>
      </c>
      <c r="B42" s="21">
        <f>CHOOSE($B$4, B24, B30, B36)</f>
        <v/>
      </c>
      <c r="C42" s="21">
        <f>CHOOSE($B$4, C24, C30, C36)</f>
        <v/>
      </c>
      <c r="D42" s="21">
        <f>CHOOSE($B$4, D24, D30, D36)</f>
        <v/>
      </c>
      <c r="E42" s="21">
        <f>CHOOSE($B$4, E24, E30, E36)</f>
        <v/>
      </c>
      <c r="F42" s="21">
        <f>CHOOSE($B$4, F24, F30, F36)</f>
        <v/>
      </c>
      <c r="G42" s="18" t="inlineStr"/>
    </row>
    <row r="43">
      <c r="A43" s="11" t="inlineStr">
        <is>
          <t xml:space="preserve">  Selected CapEx (% of Revenue)</t>
        </is>
      </c>
      <c r="B43" s="21">
        <f>CHOOSE($B$4, B25, B31, B37)</f>
        <v/>
      </c>
      <c r="C43" s="21">
        <f>CHOOSE($B$4, C25, C31, C37)</f>
        <v/>
      </c>
      <c r="D43" s="21">
        <f>CHOOSE($B$4, D25, D31, D37)</f>
        <v/>
      </c>
      <c r="E43" s="21">
        <f>CHOOSE($B$4, E25, E31, E37)</f>
        <v/>
      </c>
      <c r="F43" s="21">
        <f>CHOOSE($B$4, F25, F31, F37)</f>
        <v/>
      </c>
      <c r="G43" s="18" t="inlineStr"/>
    </row>
    <row r="44">
      <c r="A44" s="11" t="inlineStr">
        <is>
          <t xml:space="preserve">  Selected Δ NWC (% of Δ Rev)</t>
        </is>
      </c>
      <c r="B44" s="21">
        <f>CHOOSE($B$4, B26, B32, B38)</f>
        <v/>
      </c>
      <c r="C44" s="21">
        <f>CHOOSE($B$4, C26, C32, C38)</f>
        <v/>
      </c>
      <c r="D44" s="21">
        <f>CHOOSE($B$4, D26, D32, D38)</f>
        <v/>
      </c>
      <c r="E44" s="21">
        <f>CHOOSE($B$4, E26, E32, E38)</f>
        <v/>
      </c>
      <c r="F44" s="21">
        <f>CHOOSE($B$4, F26, F32, F38)</f>
        <v/>
      </c>
      <c r="G44" s="18" t="inlineStr"/>
    </row>
    <row r="47">
      <c r="A47" s="6" t="inlineStr">
        <is>
          <t>III. UNLEVERED FREE CASH FLOW (UFCF) PROJECTIONS</t>
        </is>
      </c>
      <c r="B47" s="7" t="n"/>
      <c r="C47" s="7" t="n"/>
      <c r="D47" s="7" t="n"/>
      <c r="E47" s="7" t="n"/>
      <c r="F47" s="7" t="n"/>
      <c r="G47" s="7" t="n"/>
    </row>
    <row r="48">
      <c r="A48" s="14" t="inlineStr">
        <is>
          <t>Line Item ($M)</t>
        </is>
      </c>
      <c r="B48" s="15" t="inlineStr">
        <is>
          <t>LTM Base</t>
        </is>
      </c>
      <c r="C48" s="15" t="inlineStr">
        <is>
          <t>FY2026E</t>
        </is>
      </c>
      <c r="D48" s="15" t="inlineStr">
        <is>
          <t>FY2027E</t>
        </is>
      </c>
      <c r="E48" s="15" t="inlineStr">
        <is>
          <t>FY2028E</t>
        </is>
      </c>
      <c r="F48" s="15" t="inlineStr">
        <is>
          <t>FY2029E</t>
        </is>
      </c>
      <c r="G48" s="15" t="inlineStr">
        <is>
          <t>FY2030E</t>
        </is>
      </c>
    </row>
    <row r="49">
      <c r="A49" s="8" t="inlineStr">
        <is>
          <t>Revenue Growth Rate (%)</t>
        </is>
      </c>
      <c r="B49" s="22" t="inlineStr">
        <is>
          <t>—</t>
        </is>
      </c>
      <c r="C49" s="13">
        <f>B40</f>
        <v/>
      </c>
      <c r="D49" s="13">
        <f>C40</f>
        <v/>
      </c>
      <c r="E49" s="13">
        <f>D40</f>
        <v/>
      </c>
      <c r="F49" s="13">
        <f>E40</f>
        <v/>
      </c>
      <c r="G49" s="13">
        <f>F40</f>
        <v/>
      </c>
    </row>
    <row r="50">
      <c r="A50" s="11" t="inlineStr">
        <is>
          <t>Total Revenue ($M)</t>
        </is>
      </c>
      <c r="B50" s="12" t="n">
        <v>108.48</v>
      </c>
      <c r="C50" s="12">
        <f>B50*(1+C49)</f>
        <v/>
      </c>
      <c r="D50" s="12">
        <f>C50*(1+D49)</f>
        <v/>
      </c>
      <c r="E50" s="12">
        <f>D50*(1+E49)</f>
        <v/>
      </c>
      <c r="F50" s="12">
        <f>E50*(1+F49)</f>
        <v/>
      </c>
      <c r="G50" s="12">
        <f>F50*(1+G49)</f>
        <v/>
      </c>
    </row>
    <row r="51">
      <c r="A51" s="8" t="inlineStr">
        <is>
          <t>EBIT Margin (%)</t>
        </is>
      </c>
      <c r="B51" s="13">
        <f>B52/B50</f>
        <v/>
      </c>
      <c r="C51" s="13">
        <f>B41</f>
        <v/>
      </c>
      <c r="D51" s="13">
        <f>C41</f>
        <v/>
      </c>
      <c r="E51" s="13">
        <f>D41</f>
        <v/>
      </c>
      <c r="F51" s="13">
        <f>E41</f>
        <v/>
      </c>
      <c r="G51" s="13">
        <f>F41</f>
        <v/>
      </c>
    </row>
    <row r="52">
      <c r="A52" s="11" t="inlineStr">
        <is>
          <t>Operating Income (EBIT) ($M)</t>
        </is>
      </c>
      <c r="B52" s="12" t="n">
        <v>24.33</v>
      </c>
      <c r="C52" s="12">
        <f>C50*C51</f>
        <v/>
      </c>
      <c r="D52" s="12">
        <f>D50*D51</f>
        <v/>
      </c>
      <c r="E52" s="12">
        <f>E50*E51</f>
        <v/>
      </c>
      <c r="F52" s="12">
        <f>F50*F51</f>
        <v/>
      </c>
      <c r="G52" s="12">
        <f>G50*G51</f>
        <v/>
      </c>
    </row>
    <row r="53">
      <c r="A53" s="8" t="inlineStr">
        <is>
          <t>(-) Provision for Taxes ($M)</t>
        </is>
      </c>
      <c r="B53" s="22" t="inlineStr">
        <is>
          <t>—</t>
        </is>
      </c>
      <c r="C53" s="23">
        <f>C52*$B$17</f>
        <v/>
      </c>
      <c r="D53" s="23">
        <f>D52*$B$17</f>
        <v/>
      </c>
      <c r="E53" s="23">
        <f>E52*$B$17</f>
        <v/>
      </c>
      <c r="F53" s="23">
        <f>F52*$B$17</f>
        <v/>
      </c>
      <c r="G53" s="23">
        <f>G52*$B$17</f>
        <v/>
      </c>
    </row>
    <row r="54">
      <c r="A54" s="11" t="inlineStr">
        <is>
          <t>Net Operating Profit After Tax (NOPAT) ($M)</t>
        </is>
      </c>
      <c r="B54" s="22" t="inlineStr">
        <is>
          <t>—</t>
        </is>
      </c>
      <c r="C54" s="12">
        <f>C52-C53</f>
        <v/>
      </c>
      <c r="D54" s="12">
        <f>D52-D53</f>
        <v/>
      </c>
      <c r="E54" s="12">
        <f>E52-E53</f>
        <v/>
      </c>
      <c r="F54" s="12">
        <f>F52-F53</f>
        <v/>
      </c>
      <c r="G54" s="12">
        <f>G52-G53</f>
        <v/>
      </c>
    </row>
    <row r="55">
      <c r="A55" s="8" t="inlineStr">
        <is>
          <t>(+) Depreciation &amp; Amortization (D&amp;A) ($M)</t>
        </is>
      </c>
      <c r="B55" s="9" t="n">
        <v>30.5</v>
      </c>
      <c r="C55" s="9">
        <f>C50*B42</f>
        <v/>
      </c>
      <c r="D55" s="9">
        <f>D50*C42</f>
        <v/>
      </c>
      <c r="E55" s="9">
        <f>E50*D42</f>
        <v/>
      </c>
      <c r="F55" s="9">
        <f>F50*E42</f>
        <v/>
      </c>
      <c r="G55" s="9">
        <f>G50*F42</f>
        <v/>
      </c>
    </row>
    <row r="56">
      <c r="A56" s="8" t="inlineStr">
        <is>
          <t>(-) Capital Expenditures (CapEx) ($M)</t>
        </is>
      </c>
      <c r="B56" s="23" t="n">
        <v>3.5</v>
      </c>
      <c r="C56" s="23">
        <f>C50*B43</f>
        <v/>
      </c>
      <c r="D56" s="23">
        <f>D50*C43</f>
        <v/>
      </c>
      <c r="E56" s="23">
        <f>E50*D43</f>
        <v/>
      </c>
      <c r="F56" s="23">
        <f>F50*E43</f>
        <v/>
      </c>
      <c r="G56" s="23">
        <f>G50*F43</f>
        <v/>
      </c>
    </row>
    <row r="57">
      <c r="A57" s="8" t="inlineStr">
        <is>
          <t>(-) Change in Net Working Capital (Δ NWC) ($M)</t>
        </is>
      </c>
      <c r="B57" s="22" t="inlineStr">
        <is>
          <t>—</t>
        </is>
      </c>
      <c r="C57" s="23">
        <f>(C50-B50)*B44</f>
        <v/>
      </c>
      <c r="D57" s="23">
        <f>(D50-C50)*C44</f>
        <v/>
      </c>
      <c r="E57" s="23">
        <f>(E50-D50)*D44</f>
        <v/>
      </c>
      <c r="F57" s="23">
        <f>(F50-E50)*E44</f>
        <v/>
      </c>
      <c r="G57" s="23">
        <f>(G50-F50)*F44</f>
        <v/>
      </c>
    </row>
    <row r="58">
      <c r="A58" s="24" t="inlineStr">
        <is>
          <t>Unlevered Free Cash Flow (UFCF) ($M)</t>
        </is>
      </c>
      <c r="B58" s="25" t="inlineStr">
        <is>
          <t>—</t>
        </is>
      </c>
      <c r="C58" s="26">
        <f>C54+C55-C56-C57</f>
        <v/>
      </c>
      <c r="D58" s="26">
        <f>D54+D55-D56-D57</f>
        <v/>
      </c>
      <c r="E58" s="26">
        <f>E54+E55-E56-E57</f>
        <v/>
      </c>
      <c r="F58" s="26">
        <f>F54+F55-F56-F57</f>
        <v/>
      </c>
      <c r="G58" s="26">
        <f>G54+G55-G56-G57</f>
        <v/>
      </c>
    </row>
    <row r="60">
      <c r="A60" s="6" t="inlineStr">
        <is>
          <t>IV. DISCOUNTING &amp; PRESENT VALUE (MID-YEAR CONVENTION)</t>
        </is>
      </c>
      <c r="B60" s="7" t="n"/>
      <c r="C60" s="7" t="n"/>
      <c r="D60" s="7" t="n"/>
      <c r="E60" s="7" t="n"/>
      <c r="F60" s="7" t="n"/>
      <c r="G60" s="7" t="n"/>
    </row>
    <row r="61">
      <c r="A61" s="14" t="inlineStr">
        <is>
          <t>Discount Parameters</t>
        </is>
      </c>
      <c r="B61" s="14" t="inlineStr"/>
      <c r="C61" s="15" t="inlineStr">
        <is>
          <t>Year 1 (FY26E)</t>
        </is>
      </c>
      <c r="D61" s="15" t="inlineStr">
        <is>
          <t>Year 2 (FY27E)</t>
        </is>
      </c>
      <c r="E61" s="15" t="inlineStr">
        <is>
          <t>Year 3 (FY28E)</t>
        </is>
      </c>
      <c r="F61" s="15" t="inlineStr">
        <is>
          <t>Year 4 (FY29E)</t>
        </is>
      </c>
      <c r="G61" s="15" t="inlineStr">
        <is>
          <t>Year 5 (FY30E)</t>
        </is>
      </c>
    </row>
    <row r="62">
      <c r="A62" s="8" t="inlineStr">
        <is>
          <t>Discount Period (Years - Mid-Year)</t>
        </is>
      </c>
      <c r="B62" s="18" t="inlineStr"/>
      <c r="C62" s="27" t="n">
        <v>0.5</v>
      </c>
      <c r="D62" s="27" t="n">
        <v>1.5</v>
      </c>
      <c r="E62" s="27" t="n">
        <v>2.5</v>
      </c>
      <c r="F62" s="27" t="n">
        <v>3.5</v>
      </c>
      <c r="G62" s="27" t="n">
        <v>4.5</v>
      </c>
    </row>
    <row r="63">
      <c r="A63" s="8" t="inlineStr">
        <is>
          <t>Discount Factor [ 1 / (1 + WACC)^t ]</t>
        </is>
      </c>
      <c r="B63" s="18" t="inlineStr"/>
      <c r="C63" s="28">
        <f>1/(1+$G$41)^C62</f>
        <v/>
      </c>
      <c r="D63" s="28">
        <f>1/(1+$G$41)^D62</f>
        <v/>
      </c>
      <c r="E63" s="28">
        <f>1/(1+$G$41)^E62</f>
        <v/>
      </c>
      <c r="F63" s="28">
        <f>1/(1+$G$41)^F62</f>
        <v/>
      </c>
      <c r="G63" s="28">
        <f>1/(1+$G$41)^G62</f>
        <v/>
      </c>
    </row>
    <row r="64">
      <c r="A64" s="11" t="inlineStr">
        <is>
          <t>Present Value of UFCF ($M)</t>
        </is>
      </c>
      <c r="B64" s="18" t="inlineStr"/>
      <c r="C64" s="12">
        <f>C58*C63</f>
        <v/>
      </c>
      <c r="D64" s="12">
        <f>D58*D63</f>
        <v/>
      </c>
      <c r="E64" s="12">
        <f>E58*E63</f>
        <v/>
      </c>
      <c r="F64" s="12">
        <f>F58*F63</f>
        <v/>
      </c>
      <c r="G64" s="12">
        <f>G58*G63</f>
        <v/>
      </c>
    </row>
    <row r="65">
      <c r="A65" s="29" t="inlineStr">
        <is>
          <t>Cumulative PV of 5-Year Explicit Cash Flows ($M)</t>
        </is>
      </c>
      <c r="B65" s="30">
        <f>SUM(C64:G64)</f>
        <v/>
      </c>
      <c r="C65" s="31" t="n"/>
      <c r="D65" s="31" t="n"/>
      <c r="E65" s="31" t="n"/>
      <c r="F65" s="31" t="n"/>
      <c r="G65" s="31" t="n"/>
    </row>
    <row r="67">
      <c r="A67" s="6" t="inlineStr">
        <is>
          <t>V. TERMINAL VALUE &amp; VALUATION SUMMARY</t>
        </is>
      </c>
      <c r="B67" s="7" t="n"/>
      <c r="C67" s="7" t="n"/>
      <c r="D67" s="7" t="n"/>
      <c r="E67" s="7" t="n"/>
      <c r="F67" s="7" t="n"/>
      <c r="G67" s="7" t="n"/>
    </row>
    <row r="68">
      <c r="A68" s="16" t="inlineStr">
        <is>
          <t>Terminal Value Assumptions &amp; Calculation:</t>
        </is>
      </c>
      <c r="B68" s="17" t="n"/>
      <c r="C68" s="17" t="n"/>
      <c r="D68" s="17" t="n"/>
      <c r="E68" s="17" t="n"/>
      <c r="F68" s="17" t="n"/>
      <c r="G68" s="17" t="n"/>
    </row>
    <row r="69">
      <c r="A69" s="8" t="inlineStr">
        <is>
          <t xml:space="preserve">  Final Year Projected UFCF (FY2030E) ($M)</t>
        </is>
      </c>
      <c r="B69" s="9">
        <f>G58</f>
        <v/>
      </c>
    </row>
    <row r="70">
      <c r="A70" s="8" t="inlineStr">
        <is>
          <t xml:space="preserve">  Perpetual Terminal Growth Rate (g)</t>
        </is>
      </c>
      <c r="B70" s="13">
        <f>$G$40</f>
        <v/>
      </c>
    </row>
    <row r="71">
      <c r="A71" s="8" t="inlineStr">
        <is>
          <t xml:space="preserve">  WACC (Discount Rate)</t>
        </is>
      </c>
      <c r="B71" s="13">
        <f>$G$41</f>
        <v/>
      </c>
    </row>
    <row r="72">
      <c r="A72" s="8" t="inlineStr">
        <is>
          <t xml:space="preserve">  Terminal Year Cash Flow ($M)</t>
        </is>
      </c>
      <c r="B72" s="9">
        <f>B69*(1+B70)</f>
        <v/>
      </c>
    </row>
    <row r="73">
      <c r="A73" s="8" t="inlineStr">
        <is>
          <t xml:space="preserve">  Terminal Value at FY2030E ($M)</t>
        </is>
      </c>
      <c r="B73" s="9">
        <f>B72/(B71-B70)</f>
        <v/>
      </c>
    </row>
    <row r="74">
      <c r="A74" s="8" t="inlineStr">
        <is>
          <t xml:space="preserve">  PV of Terminal Value ($M)</t>
        </is>
      </c>
      <c r="B74" s="9">
        <f>B73/(1+B71)^4.5</f>
        <v/>
      </c>
    </row>
    <row r="75">
      <c r="A75" s="8" t="inlineStr">
        <is>
          <t xml:space="preserve">  Terminal Value as % of Enterprise Value</t>
        </is>
      </c>
      <c r="B75" s="13">
        <f>B74/B79</f>
        <v/>
      </c>
    </row>
    <row r="76">
      <c r="A76" s="16" t="inlineStr">
        <is>
          <t>Enterprise Value to Equity Value Bridge ($M):</t>
        </is>
      </c>
      <c r="B76" s="17" t="n"/>
      <c r="C76" s="17" t="n"/>
      <c r="D76" s="17" t="n"/>
      <c r="E76" s="17" t="n"/>
      <c r="F76" s="17" t="n"/>
      <c r="G76" s="17" t="n"/>
    </row>
    <row r="77">
      <c r="A77" s="8" t="inlineStr">
        <is>
          <t xml:space="preserve">  PV of Explicit 5-Year Cash Flows ($M)</t>
        </is>
      </c>
      <c r="B77" s="9">
        <f>B65</f>
        <v/>
      </c>
    </row>
    <row r="78">
      <c r="A78" s="8" t="inlineStr">
        <is>
          <t xml:space="preserve">  (+) PV of Terminal Value ($M)</t>
        </is>
      </c>
      <c r="B78" s="9">
        <f>B74</f>
        <v/>
      </c>
    </row>
    <row r="79">
      <c r="A79" s="19" t="inlineStr">
        <is>
          <t>Enterprise Value (EV) ($M)</t>
        </is>
      </c>
      <c r="B79" s="32">
        <f>B77+B78</f>
        <v/>
      </c>
    </row>
    <row r="80">
      <c r="A80" s="8" t="inlineStr">
        <is>
          <t xml:space="preserve">  (-) Total Non-Recourse Debt ($M)</t>
        </is>
      </c>
      <c r="B80" s="23">
        <f>$B$15</f>
        <v/>
      </c>
    </row>
    <row r="81">
      <c r="A81" s="8" t="inlineStr">
        <is>
          <t xml:space="preserve">  (+) Total Cash &amp; Equivalents ($M)</t>
        </is>
      </c>
      <c r="B81" s="9">
        <f>$B$12</f>
        <v/>
      </c>
    </row>
    <row r="82">
      <c r="A82" s="8" t="inlineStr">
        <is>
          <t xml:space="preserve">  (-) Net Debt ($M)</t>
        </is>
      </c>
      <c r="B82" s="23">
        <f>$B$16</f>
        <v/>
      </c>
    </row>
    <row r="83">
      <c r="A83" s="19" t="inlineStr">
        <is>
          <t>Implied Equity Value ($M)</t>
        </is>
      </c>
      <c r="B83" s="32">
        <f>B79-B82</f>
        <v/>
      </c>
    </row>
    <row r="84">
      <c r="A84" s="8" t="inlineStr">
        <is>
          <t xml:space="preserve">  Diluted Shares Outstanding (M)</t>
        </is>
      </c>
      <c r="B84" s="10">
        <f>$B$8</f>
        <v/>
      </c>
    </row>
    <row r="85">
      <c r="A85" s="19" t="inlineStr">
        <is>
          <t>Implied Price per Share ($)</t>
        </is>
      </c>
      <c r="B85" s="32">
        <f>B83/B84</f>
        <v/>
      </c>
    </row>
    <row r="86">
      <c r="A86" s="8" t="inlineStr">
        <is>
          <t>Current Market Share Price ($)</t>
        </is>
      </c>
      <c r="B86" s="9">
        <f>$B$7</f>
        <v/>
      </c>
    </row>
    <row r="87">
      <c r="A87" s="19" t="inlineStr">
        <is>
          <t>Implied Upside / (Downside) (%)</t>
        </is>
      </c>
      <c r="B87" s="33">
        <f>(B85/B86)-1</f>
        <v/>
      </c>
    </row>
    <row r="89">
      <c r="A89" s="6" t="inlineStr">
        <is>
          <t>VI. SENSITIVITY ANALYSIS (5x5 INSTITUTIONAL VALUATION GRIDS)</t>
        </is>
      </c>
      <c r="B89" s="7" t="n"/>
      <c r="C89" s="7" t="n"/>
      <c r="D89" s="7" t="n"/>
      <c r="E89" s="7" t="n"/>
      <c r="F89" s="7" t="n"/>
      <c r="G89" s="7" t="n"/>
    </row>
    <row r="90">
      <c r="A90" s="34" t="inlineStr">
        <is>
          <t>Sensitivity Table 1: Implied Share Price ($) vs. WACC and Perpetual Terminal Growth Rate (g)</t>
        </is>
      </c>
    </row>
    <row r="91">
      <c r="A91" s="15" t="inlineStr">
        <is>
          <t>WACC \ g</t>
        </is>
      </c>
      <c r="B91" s="35" t="n">
        <v>0.015</v>
      </c>
      <c r="C91" s="35" t="n">
        <v>0.02</v>
      </c>
      <c r="D91" s="36" t="n">
        <v>0.025</v>
      </c>
      <c r="E91" s="35" t="n">
        <v>0.03</v>
      </c>
      <c r="F91" s="35" t="n">
        <v>0.035</v>
      </c>
    </row>
    <row r="92">
      <c r="A92" s="37" t="n">
        <v>0.08500000000000001</v>
      </c>
      <c r="B92" s="38">
        <f>(($C$58/(1+$A92)^0.5 + $D$58/(1+$A92)^1.5 + $E$58/(1+$A92)^2.5 + $F$58/(1+$A92)^3.5 + $G$58/(1+$A92)^4.5 + ($G$58*(1+B$91)/($A92-B$91))/(1+$A92)^4.5) - $B$16)/$B$8</f>
        <v/>
      </c>
      <c r="C92" s="38">
        <f>(($C$58/(1+$A92)^0.5 + $D$58/(1+$A92)^1.5 + $E$58/(1+$A92)^2.5 + $F$58/(1+$A92)^3.5 + $G$58/(1+$A92)^4.5 + ($G$58*(1+C$91)/($A92-C$91))/(1+$A92)^4.5) - $B$16)/$B$8</f>
        <v/>
      </c>
      <c r="D92" s="38">
        <f>(($C$58/(1+$A92)^0.5 + $D$58/(1+$A92)^1.5 + $E$58/(1+$A92)^2.5 + $F$58/(1+$A92)^3.5 + $G$58/(1+$A92)^4.5 + ($G$58*(1+D$91)/($A92-D$91))/(1+$A92)^4.5) - $B$16)/$B$8</f>
        <v/>
      </c>
      <c r="E92" s="38">
        <f>(($C$58/(1+$A92)^0.5 + $D$58/(1+$A92)^1.5 + $E$58/(1+$A92)^2.5 + $F$58/(1+$A92)^3.5 + $G$58/(1+$A92)^4.5 + ($G$58*(1+E$91)/($A92-E$91))/(1+$A92)^4.5) - $B$16)/$B$8</f>
        <v/>
      </c>
      <c r="F92" s="38">
        <f>(($C$58/(1+$A92)^0.5 + $D$58/(1+$A92)^1.5 + $E$58/(1+$A92)^2.5 + $F$58/(1+$A92)^3.5 + $G$58/(1+$A92)^4.5 + ($G$58*(1+F$91)/($A92-F$91))/(1+$A92)^4.5) - $B$16)/$B$8</f>
        <v/>
      </c>
    </row>
    <row r="93">
      <c r="A93" s="37" t="n">
        <v>0.09</v>
      </c>
      <c r="B93" s="38">
        <f>(($C$58/(1+$A93)^0.5 + $D$58/(1+$A93)^1.5 + $E$58/(1+$A93)^2.5 + $F$58/(1+$A93)^3.5 + $G$58/(1+$A93)^4.5 + ($G$58*(1+B$91)/($A93-B$91))/(1+$A93)^4.5) - $B$16)/$B$8</f>
        <v/>
      </c>
      <c r="C93" s="38">
        <f>(($C$58/(1+$A93)^0.5 + $D$58/(1+$A93)^1.5 + $E$58/(1+$A93)^2.5 + $F$58/(1+$A93)^3.5 + $G$58/(1+$A93)^4.5 + ($G$58*(1+C$91)/($A93-C$91))/(1+$A93)^4.5) - $B$16)/$B$8</f>
        <v/>
      </c>
      <c r="D93" s="38">
        <f>(($C$58/(1+$A93)^0.5 + $D$58/(1+$A93)^1.5 + $E$58/(1+$A93)^2.5 + $F$58/(1+$A93)^3.5 + $G$58/(1+$A93)^4.5 + ($G$58*(1+D$91)/($A93-D$91))/(1+$A93)^4.5) - $B$16)/$B$8</f>
        <v/>
      </c>
      <c r="E93" s="38">
        <f>(($C$58/(1+$A93)^0.5 + $D$58/(1+$A93)^1.5 + $E$58/(1+$A93)^2.5 + $F$58/(1+$A93)^3.5 + $G$58/(1+$A93)^4.5 + ($G$58*(1+E$91)/($A93-E$91))/(1+$A93)^4.5) - $B$16)/$B$8</f>
        <v/>
      </c>
      <c r="F93" s="38">
        <f>(($C$58/(1+$A93)^0.5 + $D$58/(1+$A93)^1.5 + $E$58/(1+$A93)^2.5 + $F$58/(1+$A93)^3.5 + $G$58/(1+$A93)^4.5 + ($G$58*(1+F$91)/($A93-F$91))/(1+$A93)^4.5) - $B$16)/$B$8</f>
        <v/>
      </c>
    </row>
    <row r="94">
      <c r="A94" s="39" t="n">
        <v>0.095</v>
      </c>
      <c r="B94" s="38">
        <f>(($C$58/(1+$A94)^0.5 + $D$58/(1+$A94)^1.5 + $E$58/(1+$A94)^2.5 + $F$58/(1+$A94)^3.5 + $G$58/(1+$A94)^4.5 + ($G$58*(1+B$91)/($A94-B$91))/(1+$A94)^4.5) - $B$16)/$B$8</f>
        <v/>
      </c>
      <c r="C94" s="38">
        <f>(($C$58/(1+$A94)^0.5 + $D$58/(1+$A94)^1.5 + $E$58/(1+$A94)^2.5 + $F$58/(1+$A94)^3.5 + $G$58/(1+$A94)^4.5 + ($G$58*(1+C$91)/($A94-C$91))/(1+$A94)^4.5) - $B$16)/$B$8</f>
        <v/>
      </c>
      <c r="D94" s="40">
        <f>(($C$58/(1+$A94)^0.5 + $D$58/(1+$A94)^1.5 + $E$58/(1+$A94)^2.5 + $F$58/(1+$A94)^3.5 + $G$58/(1+$A94)^4.5 + ($G$58*(1+D$91)/($A94-D$91))/(1+$A94)^4.5) - $B$16)/$B$8</f>
        <v/>
      </c>
      <c r="E94" s="38">
        <f>(($C$58/(1+$A94)^0.5 + $D$58/(1+$A94)^1.5 + $E$58/(1+$A94)^2.5 + $F$58/(1+$A94)^3.5 + $G$58/(1+$A94)^4.5 + ($G$58*(1+E$91)/($A94-E$91))/(1+$A94)^4.5) - $B$16)/$B$8</f>
        <v/>
      </c>
      <c r="F94" s="38">
        <f>(($C$58/(1+$A94)^0.5 + $D$58/(1+$A94)^1.5 + $E$58/(1+$A94)^2.5 + $F$58/(1+$A94)^3.5 + $G$58/(1+$A94)^4.5 + ($G$58*(1+F$91)/($A94-F$91))/(1+$A94)^4.5) - $B$16)/$B$8</f>
        <v/>
      </c>
    </row>
    <row r="95">
      <c r="A95" s="37" t="n">
        <v>0.1</v>
      </c>
      <c r="B95" s="38">
        <f>(($C$58/(1+$A95)^0.5 + $D$58/(1+$A95)^1.5 + $E$58/(1+$A95)^2.5 + $F$58/(1+$A95)^3.5 + $G$58/(1+$A95)^4.5 + ($G$58*(1+B$91)/($A95-B$91))/(1+$A95)^4.5) - $B$16)/$B$8</f>
        <v/>
      </c>
      <c r="C95" s="38">
        <f>(($C$58/(1+$A95)^0.5 + $D$58/(1+$A95)^1.5 + $E$58/(1+$A95)^2.5 + $F$58/(1+$A95)^3.5 + $G$58/(1+$A95)^4.5 + ($G$58*(1+C$91)/($A95-C$91))/(1+$A95)^4.5) - $B$16)/$B$8</f>
        <v/>
      </c>
      <c r="D95" s="38">
        <f>(($C$58/(1+$A95)^0.5 + $D$58/(1+$A95)^1.5 + $E$58/(1+$A95)^2.5 + $F$58/(1+$A95)^3.5 + $G$58/(1+$A95)^4.5 + ($G$58*(1+D$91)/($A95-D$91))/(1+$A95)^4.5) - $B$16)/$B$8</f>
        <v/>
      </c>
      <c r="E95" s="38">
        <f>(($C$58/(1+$A95)^0.5 + $D$58/(1+$A95)^1.5 + $E$58/(1+$A95)^2.5 + $F$58/(1+$A95)^3.5 + $G$58/(1+$A95)^4.5 + ($G$58*(1+E$91)/($A95-E$91))/(1+$A95)^4.5) - $B$16)/$B$8</f>
        <v/>
      </c>
      <c r="F95" s="38">
        <f>(($C$58/(1+$A95)^0.5 + $D$58/(1+$A95)^1.5 + $E$58/(1+$A95)^2.5 + $F$58/(1+$A95)^3.5 + $G$58/(1+$A95)^4.5 + ($G$58*(1+F$91)/($A95-F$91))/(1+$A95)^4.5) - $B$16)/$B$8</f>
        <v/>
      </c>
    </row>
    <row r="96">
      <c r="A96" s="37" t="n">
        <v>0.105</v>
      </c>
      <c r="B96" s="38">
        <f>(($C$58/(1+$A96)^0.5 + $D$58/(1+$A96)^1.5 + $E$58/(1+$A96)^2.5 + $F$58/(1+$A96)^3.5 + $G$58/(1+$A96)^4.5 + ($G$58*(1+B$91)/($A96-B$91))/(1+$A96)^4.5) - $B$16)/$B$8</f>
        <v/>
      </c>
      <c r="C96" s="38">
        <f>(($C$58/(1+$A96)^0.5 + $D$58/(1+$A96)^1.5 + $E$58/(1+$A96)^2.5 + $F$58/(1+$A96)^3.5 + $G$58/(1+$A96)^4.5 + ($G$58*(1+C$91)/($A96-C$91))/(1+$A96)^4.5) - $B$16)/$B$8</f>
        <v/>
      </c>
      <c r="D96" s="38">
        <f>(($C$58/(1+$A96)^0.5 + $D$58/(1+$A96)^1.5 + $E$58/(1+$A96)^2.5 + $F$58/(1+$A96)^3.5 + $G$58/(1+$A96)^4.5 + ($G$58*(1+D$91)/($A96-D$91))/(1+$A96)^4.5) - $B$16)/$B$8</f>
        <v/>
      </c>
      <c r="E96" s="38">
        <f>(($C$58/(1+$A96)^0.5 + $D$58/(1+$A96)^1.5 + $E$58/(1+$A96)^2.5 + $F$58/(1+$A96)^3.5 + $G$58/(1+$A96)^4.5 + ($G$58*(1+E$91)/($A96-E$91))/(1+$A96)^4.5) - $B$16)/$B$8</f>
        <v/>
      </c>
      <c r="F96" s="38">
        <f>(($C$58/(1+$A96)^0.5 + $D$58/(1+$A96)^1.5 + $E$58/(1+$A96)^2.5 + $F$58/(1+$A96)^3.5 + $G$58/(1+$A96)^4.5 + ($G$58*(1+F$91)/($A96-F$91))/(1+$A96)^4.5) - $B$16)/$B$8</f>
        <v/>
      </c>
    </row>
    <row r="98">
      <c r="A98" s="34" t="inlineStr">
        <is>
          <t>Sensitivity Table 2: Implied Share Price ($) vs. Revenue Growth Rate &amp; Target FY30 EBIT Margin</t>
        </is>
      </c>
    </row>
    <row r="99">
      <c r="A99" s="15" t="inlineStr">
        <is>
          <t>EBIT Margin \ Rev Growth</t>
        </is>
      </c>
      <c r="B99" s="35" t="n">
        <v>0.03</v>
      </c>
      <c r="C99" s="35" t="n">
        <v>0.04</v>
      </c>
      <c r="D99" s="36" t="n">
        <v>0.05</v>
      </c>
      <c r="E99" s="35" t="n">
        <v>0.06</v>
      </c>
      <c r="F99" s="35" t="n">
        <v>0.07000000000000001</v>
      </c>
    </row>
    <row r="100">
      <c r="A100" s="37" t="n">
        <v>0.21</v>
      </c>
      <c r="B100" s="38">
        <f>((($C$58*(1+(B$99-0.050))*($A100/0.25))/(1+$G$41)^0.5 + ($D$58*(1+(B$99-0.050))*($A100/0.25))/(1+$G$41)^1.5 + ($E$58*(1+(B$99-0.050))*($A100/0.25))/(1+$G$41)^2.5 + ($F$58*(1+(B$99-0.050))*($A100/0.25))/(1+$G$41)^3.5 + ($G$58*(1+(B$99-0.050))*($A100/0.25))/(1+$G$41)^4.5 + (($G$58*(1+(B$99-0.050))*($A100/0.25)*(1+$G$40)/($G$41-$G$40))/(1+$G$41)^4.5)) - $B$16)/$B$8</f>
        <v/>
      </c>
      <c r="C100" s="38">
        <f>((($C$58*(1+(C$99-0.050))*($A100/0.25))/(1+$G$41)^0.5 + ($D$58*(1+(C$99-0.050))*($A100/0.25))/(1+$G$41)^1.5 + ($E$58*(1+(C$99-0.050))*($A100/0.25))/(1+$G$41)^2.5 + ($F$58*(1+(C$99-0.050))*($A100/0.25))/(1+$G$41)^3.5 + ($G$58*(1+(C$99-0.050))*($A100/0.25))/(1+$G$41)^4.5 + (($G$58*(1+(C$99-0.050))*($A100/0.25)*(1+$G$40)/($G$41-$G$40))/(1+$G$41)^4.5)) - $B$16)/$B$8</f>
        <v/>
      </c>
      <c r="D100" s="38">
        <f>((($C$58*(1+(D$99-0.050))*($A100/0.25))/(1+$G$41)^0.5 + ($D$58*(1+(D$99-0.050))*($A100/0.25))/(1+$G$41)^1.5 + ($E$58*(1+(D$99-0.050))*($A100/0.25))/(1+$G$41)^2.5 + ($F$58*(1+(D$99-0.050))*($A100/0.25))/(1+$G$41)^3.5 + ($G$58*(1+(D$99-0.050))*($A100/0.25))/(1+$G$41)^4.5 + (($G$58*(1+(D$99-0.050))*($A100/0.25)*(1+$G$40)/($G$41-$G$40))/(1+$G$41)^4.5)) - $B$16)/$B$8</f>
        <v/>
      </c>
      <c r="E100" s="38">
        <f>((($C$58*(1+(E$99-0.050))*($A100/0.25))/(1+$G$41)^0.5 + ($D$58*(1+(E$99-0.050))*($A100/0.25))/(1+$G$41)^1.5 + ($E$58*(1+(E$99-0.050))*($A100/0.25))/(1+$G$41)^2.5 + ($F$58*(1+(E$99-0.050))*($A100/0.25))/(1+$G$41)^3.5 + ($G$58*(1+(E$99-0.050))*($A100/0.25))/(1+$G$41)^4.5 + (($G$58*(1+(E$99-0.050))*($A100/0.25)*(1+$G$40)/($G$41-$G$40))/(1+$G$41)^4.5)) - $B$16)/$B$8</f>
        <v/>
      </c>
      <c r="F100" s="38">
        <f>((($C$58*(1+(F$99-0.050))*($A100/0.25))/(1+$G$41)^0.5 + ($D$58*(1+(F$99-0.050))*($A100/0.25))/(1+$G$41)^1.5 + ($E$58*(1+(F$99-0.050))*($A100/0.25))/(1+$G$41)^2.5 + ($F$58*(1+(F$99-0.050))*($A100/0.25))/(1+$G$41)^3.5 + ($G$58*(1+(F$99-0.050))*($A100/0.25))/(1+$G$41)^4.5 + (($G$58*(1+(F$99-0.050))*($A100/0.25)*(1+$G$40)/($G$41-$G$40))/(1+$G$41)^4.5)) - $B$16)/$B$8</f>
        <v/>
      </c>
    </row>
    <row r="101">
      <c r="A101" s="37" t="n">
        <v>0.23</v>
      </c>
      <c r="B101" s="38">
        <f>((($C$58*(1+(B$99-0.050))*($A101/0.25))/(1+$G$41)^0.5 + ($D$58*(1+(B$99-0.050))*($A101/0.25))/(1+$G$41)^1.5 + ($E$58*(1+(B$99-0.050))*($A101/0.25))/(1+$G$41)^2.5 + ($F$58*(1+(B$99-0.050))*($A101/0.25))/(1+$G$41)^3.5 + ($G$58*(1+(B$99-0.050))*($A101/0.25))/(1+$G$41)^4.5 + (($G$58*(1+(B$99-0.050))*($A101/0.25)*(1+$G$40)/($G$41-$G$40))/(1+$G$41)^4.5)) - $B$16)/$B$8</f>
        <v/>
      </c>
      <c r="C101" s="38">
        <f>((($C$58*(1+(C$99-0.050))*($A101/0.25))/(1+$G$41)^0.5 + ($D$58*(1+(C$99-0.050))*($A101/0.25))/(1+$G$41)^1.5 + ($E$58*(1+(C$99-0.050))*($A101/0.25))/(1+$G$41)^2.5 + ($F$58*(1+(C$99-0.050))*($A101/0.25))/(1+$G$41)^3.5 + ($G$58*(1+(C$99-0.050))*($A101/0.25))/(1+$G$41)^4.5 + (($G$58*(1+(C$99-0.050))*($A101/0.25)*(1+$G$40)/($G$41-$G$40))/(1+$G$41)^4.5)) - $B$16)/$B$8</f>
        <v/>
      </c>
      <c r="D101" s="38">
        <f>((($C$58*(1+(D$99-0.050))*($A101/0.25))/(1+$G$41)^0.5 + ($D$58*(1+(D$99-0.050))*($A101/0.25))/(1+$G$41)^1.5 + ($E$58*(1+(D$99-0.050))*($A101/0.25))/(1+$G$41)^2.5 + ($F$58*(1+(D$99-0.050))*($A101/0.25))/(1+$G$41)^3.5 + ($G$58*(1+(D$99-0.050))*($A101/0.25))/(1+$G$41)^4.5 + (($G$58*(1+(D$99-0.050))*($A101/0.25)*(1+$G$40)/($G$41-$G$40))/(1+$G$41)^4.5)) - $B$16)/$B$8</f>
        <v/>
      </c>
      <c r="E101" s="38">
        <f>((($C$58*(1+(E$99-0.050))*($A101/0.25))/(1+$G$41)^0.5 + ($D$58*(1+(E$99-0.050))*($A101/0.25))/(1+$G$41)^1.5 + ($E$58*(1+(E$99-0.050))*($A101/0.25))/(1+$G$41)^2.5 + ($F$58*(1+(E$99-0.050))*($A101/0.25))/(1+$G$41)^3.5 + ($G$58*(1+(E$99-0.050))*($A101/0.25))/(1+$G$41)^4.5 + (($G$58*(1+(E$99-0.050))*($A101/0.25)*(1+$G$40)/($G$41-$G$40))/(1+$G$41)^4.5)) - $B$16)/$B$8</f>
        <v/>
      </c>
      <c r="F101" s="38">
        <f>((($C$58*(1+(F$99-0.050))*($A101/0.25))/(1+$G$41)^0.5 + ($D$58*(1+(F$99-0.050))*($A101/0.25))/(1+$G$41)^1.5 + ($E$58*(1+(F$99-0.050))*($A101/0.25))/(1+$G$41)^2.5 + ($F$58*(1+(F$99-0.050))*($A101/0.25))/(1+$G$41)^3.5 + ($G$58*(1+(F$99-0.050))*($A101/0.25))/(1+$G$41)^4.5 + (($G$58*(1+(F$99-0.050))*($A101/0.25)*(1+$G$40)/($G$41-$G$40))/(1+$G$41)^4.5)) - $B$16)/$B$8</f>
        <v/>
      </c>
    </row>
    <row r="102">
      <c r="A102" s="39" t="n">
        <v>0.25</v>
      </c>
      <c r="B102" s="38">
        <f>((($C$58*(1+(B$99-0.050))*($A102/0.25))/(1+$G$41)^0.5 + ($D$58*(1+(B$99-0.050))*($A102/0.25))/(1+$G$41)^1.5 + ($E$58*(1+(B$99-0.050))*($A102/0.25))/(1+$G$41)^2.5 + ($F$58*(1+(B$99-0.050))*($A102/0.25))/(1+$G$41)^3.5 + ($G$58*(1+(B$99-0.050))*($A102/0.25))/(1+$G$41)^4.5 + (($G$58*(1+(B$99-0.050))*($A102/0.25)*(1+$G$40)/($G$41-$G$40))/(1+$G$41)^4.5)) - $B$16)/$B$8</f>
        <v/>
      </c>
      <c r="C102" s="38">
        <f>((($C$58*(1+(C$99-0.050))*($A102/0.25))/(1+$G$41)^0.5 + ($D$58*(1+(C$99-0.050))*($A102/0.25))/(1+$G$41)^1.5 + ($E$58*(1+(C$99-0.050))*($A102/0.25))/(1+$G$41)^2.5 + ($F$58*(1+(C$99-0.050))*($A102/0.25))/(1+$G$41)^3.5 + ($G$58*(1+(C$99-0.050))*($A102/0.25))/(1+$G$41)^4.5 + (($G$58*(1+(C$99-0.050))*($A102/0.25)*(1+$G$40)/($G$41-$G$40))/(1+$G$41)^4.5)) - $B$16)/$B$8</f>
        <v/>
      </c>
      <c r="D102" s="40">
        <f>((($C$58*(1+(D$99-0.050))*($A102/0.25))/(1+$G$41)^0.5 + ($D$58*(1+(D$99-0.050))*($A102/0.25))/(1+$G$41)^1.5 + ($E$58*(1+(D$99-0.050))*($A102/0.25))/(1+$G$41)^2.5 + ($F$58*(1+(D$99-0.050))*($A102/0.25))/(1+$G$41)^3.5 + ($G$58*(1+(D$99-0.050))*($A102/0.25))/(1+$G$41)^4.5 + (($G$58*(1+(D$99-0.050))*($A102/0.25)*(1+$G$40)/($G$41-$G$40))/(1+$G$41)^4.5)) - $B$16)/$B$8</f>
        <v/>
      </c>
      <c r="E102" s="38">
        <f>((($C$58*(1+(E$99-0.050))*($A102/0.25))/(1+$G$41)^0.5 + ($D$58*(1+(E$99-0.050))*($A102/0.25))/(1+$G$41)^1.5 + ($E$58*(1+(E$99-0.050))*($A102/0.25))/(1+$G$41)^2.5 + ($F$58*(1+(E$99-0.050))*($A102/0.25))/(1+$G$41)^3.5 + ($G$58*(1+(E$99-0.050))*($A102/0.25))/(1+$G$41)^4.5 + (($G$58*(1+(E$99-0.050))*($A102/0.25)*(1+$G$40)/($G$41-$G$40))/(1+$G$41)^4.5)) - $B$16)/$B$8</f>
        <v/>
      </c>
      <c r="F102" s="38">
        <f>((($C$58*(1+(F$99-0.050))*($A102/0.25))/(1+$G$41)^0.5 + ($D$58*(1+(F$99-0.050))*($A102/0.25))/(1+$G$41)^1.5 + ($E$58*(1+(F$99-0.050))*($A102/0.25))/(1+$G$41)^2.5 + ($F$58*(1+(F$99-0.050))*($A102/0.25))/(1+$G$41)^3.5 + ($G$58*(1+(F$99-0.050))*($A102/0.25))/(1+$G$41)^4.5 + (($G$58*(1+(F$99-0.050))*($A102/0.25)*(1+$G$40)/($G$41-$G$40))/(1+$G$41)^4.5)) - $B$16)/$B$8</f>
        <v/>
      </c>
    </row>
    <row r="103">
      <c r="A103" s="37" t="n">
        <v>0.27</v>
      </c>
      <c r="B103" s="38">
        <f>((($C$58*(1+(B$99-0.050))*($A103/0.25))/(1+$G$41)^0.5 + ($D$58*(1+(B$99-0.050))*($A103/0.25))/(1+$G$41)^1.5 + ($E$58*(1+(B$99-0.050))*($A103/0.25))/(1+$G$41)^2.5 + ($F$58*(1+(B$99-0.050))*($A103/0.25))/(1+$G$41)^3.5 + ($G$58*(1+(B$99-0.050))*($A103/0.25))/(1+$G$41)^4.5 + (($G$58*(1+(B$99-0.050))*($A103/0.25)*(1+$G$40)/($G$41-$G$40))/(1+$G$41)^4.5)) - $B$16)/$B$8</f>
        <v/>
      </c>
      <c r="C103" s="38">
        <f>((($C$58*(1+(C$99-0.050))*($A103/0.25))/(1+$G$41)^0.5 + ($D$58*(1+(C$99-0.050))*($A103/0.25))/(1+$G$41)^1.5 + ($E$58*(1+(C$99-0.050))*($A103/0.25))/(1+$G$41)^2.5 + ($F$58*(1+(C$99-0.050))*($A103/0.25))/(1+$G$41)^3.5 + ($G$58*(1+(C$99-0.050))*($A103/0.25))/(1+$G$41)^4.5 + (($G$58*(1+(C$99-0.050))*($A103/0.25)*(1+$G$40)/($G$41-$G$40))/(1+$G$41)^4.5)) - $B$16)/$B$8</f>
        <v/>
      </c>
      <c r="D103" s="38">
        <f>((($C$58*(1+(D$99-0.050))*($A103/0.25))/(1+$G$41)^0.5 + ($D$58*(1+(D$99-0.050))*($A103/0.25))/(1+$G$41)^1.5 + ($E$58*(1+(D$99-0.050))*($A103/0.25))/(1+$G$41)^2.5 + ($F$58*(1+(D$99-0.050))*($A103/0.25))/(1+$G$41)^3.5 + ($G$58*(1+(D$99-0.050))*($A103/0.25))/(1+$G$41)^4.5 + (($G$58*(1+(D$99-0.050))*($A103/0.25)*(1+$G$40)/($G$41-$G$40))/(1+$G$41)^4.5)) - $B$16)/$B$8</f>
        <v/>
      </c>
      <c r="E103" s="38">
        <f>((($C$58*(1+(E$99-0.050))*($A103/0.25))/(1+$G$41)^0.5 + ($D$58*(1+(E$99-0.050))*($A103/0.25))/(1+$G$41)^1.5 + ($E$58*(1+(E$99-0.050))*($A103/0.25))/(1+$G$41)^2.5 + ($F$58*(1+(E$99-0.050))*($A103/0.25))/(1+$G$41)^3.5 + ($G$58*(1+(E$99-0.050))*($A103/0.25))/(1+$G$41)^4.5 + (($G$58*(1+(E$99-0.050))*($A103/0.25)*(1+$G$40)/($G$41-$G$40))/(1+$G$41)^4.5)) - $B$16)/$B$8</f>
        <v/>
      </c>
      <c r="F103" s="38">
        <f>((($C$58*(1+(F$99-0.050))*($A103/0.25))/(1+$G$41)^0.5 + ($D$58*(1+(F$99-0.050))*($A103/0.25))/(1+$G$41)^1.5 + ($E$58*(1+(F$99-0.050))*($A103/0.25))/(1+$G$41)^2.5 + ($F$58*(1+(F$99-0.050))*($A103/0.25))/(1+$G$41)^3.5 + ($G$58*(1+(F$99-0.050))*($A103/0.25))/(1+$G$41)^4.5 + (($G$58*(1+(F$99-0.050))*($A103/0.25)*(1+$G$40)/($G$41-$G$40))/(1+$G$41)^4.5)) - $B$16)/$B$8</f>
        <v/>
      </c>
    </row>
    <row r="104">
      <c r="A104" s="37" t="n">
        <v>0.29</v>
      </c>
      <c r="B104" s="38">
        <f>((($C$58*(1+(B$99-0.050))*($A104/0.25))/(1+$G$41)^0.5 + ($D$58*(1+(B$99-0.050))*($A104/0.25))/(1+$G$41)^1.5 + ($E$58*(1+(B$99-0.050))*($A104/0.25))/(1+$G$41)^2.5 + ($F$58*(1+(B$99-0.050))*($A104/0.25))/(1+$G$41)^3.5 + ($G$58*(1+(B$99-0.050))*($A104/0.25))/(1+$G$41)^4.5 + (($G$58*(1+(B$99-0.050))*($A104/0.25)*(1+$G$40)/($G$41-$G$40))/(1+$G$41)^4.5)) - $B$16)/$B$8</f>
        <v/>
      </c>
      <c r="C104" s="38">
        <f>((($C$58*(1+(C$99-0.050))*($A104/0.25))/(1+$G$41)^0.5 + ($D$58*(1+(C$99-0.050))*($A104/0.25))/(1+$G$41)^1.5 + ($E$58*(1+(C$99-0.050))*($A104/0.25))/(1+$G$41)^2.5 + ($F$58*(1+(C$99-0.050))*($A104/0.25))/(1+$G$41)^3.5 + ($G$58*(1+(C$99-0.050))*($A104/0.25))/(1+$G$41)^4.5 + (($G$58*(1+(C$99-0.050))*($A104/0.25)*(1+$G$40)/($G$41-$G$40))/(1+$G$41)^4.5)) - $B$16)/$B$8</f>
        <v/>
      </c>
      <c r="D104" s="38">
        <f>((($C$58*(1+(D$99-0.050))*($A104/0.25))/(1+$G$41)^0.5 + ($D$58*(1+(D$99-0.050))*($A104/0.25))/(1+$G$41)^1.5 + ($E$58*(1+(D$99-0.050))*($A104/0.25))/(1+$G$41)^2.5 + ($F$58*(1+(D$99-0.050))*($A104/0.25))/(1+$G$41)^3.5 + ($G$58*(1+(D$99-0.050))*($A104/0.25))/(1+$G$41)^4.5 + (($G$58*(1+(D$99-0.050))*($A104/0.25)*(1+$G$40)/($G$41-$G$40))/(1+$G$41)^4.5)) - $B$16)/$B$8</f>
        <v/>
      </c>
      <c r="E104" s="38">
        <f>((($C$58*(1+(E$99-0.050))*($A104/0.25))/(1+$G$41)^0.5 + ($D$58*(1+(E$99-0.050))*($A104/0.25))/(1+$G$41)^1.5 + ($E$58*(1+(E$99-0.050))*($A104/0.25))/(1+$G$41)^2.5 + ($F$58*(1+(E$99-0.050))*($A104/0.25))/(1+$G$41)^3.5 + ($G$58*(1+(E$99-0.050))*($A104/0.25))/(1+$G$41)^4.5 + (($G$58*(1+(E$99-0.050))*($A104/0.25)*(1+$G$40)/($G$41-$G$40))/(1+$G$41)^4.5)) - $B$16)/$B$8</f>
        <v/>
      </c>
      <c r="F104" s="38">
        <f>((($C$58*(1+(F$99-0.050))*($A104/0.25))/(1+$G$41)^0.5 + ($D$58*(1+(F$99-0.050))*($A104/0.25))/(1+$G$41)^1.5 + ($E$58*(1+(F$99-0.050))*($A104/0.25))/(1+$G$41)^2.5 + ($F$58*(1+(F$99-0.050))*($A104/0.25))/(1+$G$41)^3.5 + ($G$58*(1+(F$99-0.050))*($A104/0.25))/(1+$G$41)^4.5 + (($G$58*(1+(F$99-0.050))*($A104/0.25)*(1+$G$40)/($G$41-$G$40))/(1+$G$41)^4.5)) - $B$16)/$B$8</f>
        <v/>
      </c>
    </row>
    <row r="106">
      <c r="A106" s="34" t="inlineStr">
        <is>
          <t>Sensitivity Table 3: Implied Share Price ($) vs. Beta &amp; 10-Year Treasury Yield (Risk-Free Rate)</t>
        </is>
      </c>
    </row>
    <row r="107">
      <c r="A107" s="15" t="inlineStr">
        <is>
          <t>Beta \ Risk-Free Rate</t>
        </is>
      </c>
      <c r="B107" s="41" t="n">
        <v>0.0325</v>
      </c>
      <c r="C107" s="41" t="n">
        <v>0.0375</v>
      </c>
      <c r="D107" s="42" t="n">
        <v>0.0425</v>
      </c>
      <c r="E107" s="41" t="n">
        <v>0.0475</v>
      </c>
      <c r="F107" s="41" t="n">
        <v>0.0525</v>
      </c>
    </row>
    <row r="108">
      <c r="A108" s="43" t="n">
        <v>1.25</v>
      </c>
      <c r="B108" s="38">
        <f>(($C$58/(1+(0.5*(B$107 + $A108*0.055) + 0.029625))^0.5 + $D$58/(1+(0.5*(B$107 + $A108*0.055) + 0.029625))^1.5 + $E$58/(1+(0.5*(B$107 + $A108*0.055) + 0.029625))^2.5 + $F$58/(1+(0.5*(B$107 + $A108*0.055) + 0.029625))^3.5 + $G$58/(1+(0.5*(B$107 + $A108*0.055) + 0.029625))^4.5 + ($G$58*(1+$G$40)/((0.5*(B$107 + $A108*0.055) + 0.029625)-$G$40))/(1+(0.5*(B$107 + $A108*0.055) + 0.029625))^4.5) - $B$16)/$B$8</f>
        <v/>
      </c>
      <c r="C108" s="38">
        <f>(($C$58/(1+(0.5*(C$107 + $A108*0.055) + 0.029625))^0.5 + $D$58/(1+(0.5*(C$107 + $A108*0.055) + 0.029625))^1.5 + $E$58/(1+(0.5*(C$107 + $A108*0.055) + 0.029625))^2.5 + $F$58/(1+(0.5*(C$107 + $A108*0.055) + 0.029625))^3.5 + $G$58/(1+(0.5*(C$107 + $A108*0.055) + 0.029625))^4.5 + ($G$58*(1+$G$40)/((0.5*(C$107 + $A108*0.055) + 0.029625)-$G$40))/(1+(0.5*(C$107 + $A108*0.055) + 0.029625))^4.5) - $B$16)/$B$8</f>
        <v/>
      </c>
      <c r="D108" s="38">
        <f>(($C$58/(1+(0.5*(D$107 + $A108*0.055) + 0.029625))^0.5 + $D$58/(1+(0.5*(D$107 + $A108*0.055) + 0.029625))^1.5 + $E$58/(1+(0.5*(D$107 + $A108*0.055) + 0.029625))^2.5 + $F$58/(1+(0.5*(D$107 + $A108*0.055) + 0.029625))^3.5 + $G$58/(1+(0.5*(D$107 + $A108*0.055) + 0.029625))^4.5 + ($G$58*(1+$G$40)/((0.5*(D$107 + $A108*0.055) + 0.029625)-$G$40))/(1+(0.5*(D$107 + $A108*0.055) + 0.029625))^4.5) - $B$16)/$B$8</f>
        <v/>
      </c>
      <c r="E108" s="38">
        <f>(($C$58/(1+(0.5*(E$107 + $A108*0.055) + 0.029625))^0.5 + $D$58/(1+(0.5*(E$107 + $A108*0.055) + 0.029625))^1.5 + $E$58/(1+(0.5*(E$107 + $A108*0.055) + 0.029625))^2.5 + $F$58/(1+(0.5*(E$107 + $A108*0.055) + 0.029625))^3.5 + $G$58/(1+(0.5*(E$107 + $A108*0.055) + 0.029625))^4.5 + ($G$58*(1+$G$40)/((0.5*(E$107 + $A108*0.055) + 0.029625)-$G$40))/(1+(0.5*(E$107 + $A108*0.055) + 0.029625))^4.5) - $B$16)/$B$8</f>
        <v/>
      </c>
      <c r="F108" s="38">
        <f>(($C$58/(1+(0.5*(F$107 + $A108*0.055) + 0.029625))^0.5 + $D$58/(1+(0.5*(F$107 + $A108*0.055) + 0.029625))^1.5 + $E$58/(1+(0.5*(F$107 + $A108*0.055) + 0.029625))^2.5 + $F$58/(1+(0.5*(F$107 + $A108*0.055) + 0.029625))^3.5 + $G$58/(1+(0.5*(F$107 + $A108*0.055) + 0.029625))^4.5 + ($G$58*(1+$G$40)/((0.5*(F$107 + $A108*0.055) + 0.029625)-$G$40))/(1+(0.5*(F$107 + $A108*0.055) + 0.029625))^4.5) - $B$16)/$B$8</f>
        <v/>
      </c>
    </row>
    <row r="109">
      <c r="A109" s="43" t="n">
        <v>1.45</v>
      </c>
      <c r="B109" s="38">
        <f>(($C$58/(1+(0.5*(B$107 + $A109*0.055) + 0.029625))^0.5 + $D$58/(1+(0.5*(B$107 + $A109*0.055) + 0.029625))^1.5 + $E$58/(1+(0.5*(B$107 + $A109*0.055) + 0.029625))^2.5 + $F$58/(1+(0.5*(B$107 + $A109*0.055) + 0.029625))^3.5 + $G$58/(1+(0.5*(B$107 + $A109*0.055) + 0.029625))^4.5 + ($G$58*(1+$G$40)/((0.5*(B$107 + $A109*0.055) + 0.029625)-$G$40))/(1+(0.5*(B$107 + $A109*0.055) + 0.029625))^4.5) - $B$16)/$B$8</f>
        <v/>
      </c>
      <c r="C109" s="38">
        <f>(($C$58/(1+(0.5*(C$107 + $A109*0.055) + 0.029625))^0.5 + $D$58/(1+(0.5*(C$107 + $A109*0.055) + 0.029625))^1.5 + $E$58/(1+(0.5*(C$107 + $A109*0.055) + 0.029625))^2.5 + $F$58/(1+(0.5*(C$107 + $A109*0.055) + 0.029625))^3.5 + $G$58/(1+(0.5*(C$107 + $A109*0.055) + 0.029625))^4.5 + ($G$58*(1+$G$40)/((0.5*(C$107 + $A109*0.055) + 0.029625)-$G$40))/(1+(0.5*(C$107 + $A109*0.055) + 0.029625))^4.5) - $B$16)/$B$8</f>
        <v/>
      </c>
      <c r="D109" s="38">
        <f>(($C$58/(1+(0.5*(D$107 + $A109*0.055) + 0.029625))^0.5 + $D$58/(1+(0.5*(D$107 + $A109*0.055) + 0.029625))^1.5 + $E$58/(1+(0.5*(D$107 + $A109*0.055) + 0.029625))^2.5 + $F$58/(1+(0.5*(D$107 + $A109*0.055) + 0.029625))^3.5 + $G$58/(1+(0.5*(D$107 + $A109*0.055) + 0.029625))^4.5 + ($G$58*(1+$G$40)/((0.5*(D$107 + $A109*0.055) + 0.029625)-$G$40))/(1+(0.5*(D$107 + $A109*0.055) + 0.029625))^4.5) - $B$16)/$B$8</f>
        <v/>
      </c>
      <c r="E109" s="38">
        <f>(($C$58/(1+(0.5*(E$107 + $A109*0.055) + 0.029625))^0.5 + $D$58/(1+(0.5*(E$107 + $A109*0.055) + 0.029625))^1.5 + $E$58/(1+(0.5*(E$107 + $A109*0.055) + 0.029625))^2.5 + $F$58/(1+(0.5*(E$107 + $A109*0.055) + 0.029625))^3.5 + $G$58/(1+(0.5*(E$107 + $A109*0.055) + 0.029625))^4.5 + ($G$58*(1+$G$40)/((0.5*(E$107 + $A109*0.055) + 0.029625)-$G$40))/(1+(0.5*(E$107 + $A109*0.055) + 0.029625))^4.5) - $B$16)/$B$8</f>
        <v/>
      </c>
      <c r="F109" s="38">
        <f>(($C$58/(1+(0.5*(F$107 + $A109*0.055) + 0.029625))^0.5 + $D$58/(1+(0.5*(F$107 + $A109*0.055) + 0.029625))^1.5 + $E$58/(1+(0.5*(F$107 + $A109*0.055) + 0.029625))^2.5 + $F$58/(1+(0.5*(F$107 + $A109*0.055) + 0.029625))^3.5 + $G$58/(1+(0.5*(F$107 + $A109*0.055) + 0.029625))^4.5 + ($G$58*(1+$G$40)/((0.5*(F$107 + $A109*0.055) + 0.029625)-$G$40))/(1+(0.5*(F$107 + $A109*0.055) + 0.029625))^4.5) - $B$16)/$B$8</f>
        <v/>
      </c>
    </row>
    <row r="110">
      <c r="A110" s="44" t="n">
        <v>1.65</v>
      </c>
      <c r="B110" s="38">
        <f>(($C$58/(1+(0.5*(B$107 + $A110*0.055) + 0.029625))^0.5 + $D$58/(1+(0.5*(B$107 + $A110*0.055) + 0.029625))^1.5 + $E$58/(1+(0.5*(B$107 + $A110*0.055) + 0.029625))^2.5 + $F$58/(1+(0.5*(B$107 + $A110*0.055) + 0.029625))^3.5 + $G$58/(1+(0.5*(B$107 + $A110*0.055) + 0.029625))^4.5 + ($G$58*(1+$G$40)/((0.5*(B$107 + $A110*0.055) + 0.029625)-$G$40))/(1+(0.5*(B$107 + $A110*0.055) + 0.029625))^4.5) - $B$16)/$B$8</f>
        <v/>
      </c>
      <c r="C110" s="38">
        <f>(($C$58/(1+(0.5*(C$107 + $A110*0.055) + 0.029625))^0.5 + $D$58/(1+(0.5*(C$107 + $A110*0.055) + 0.029625))^1.5 + $E$58/(1+(0.5*(C$107 + $A110*0.055) + 0.029625))^2.5 + $F$58/(1+(0.5*(C$107 + $A110*0.055) + 0.029625))^3.5 + $G$58/(1+(0.5*(C$107 + $A110*0.055) + 0.029625))^4.5 + ($G$58*(1+$G$40)/((0.5*(C$107 + $A110*0.055) + 0.029625)-$G$40))/(1+(0.5*(C$107 + $A110*0.055) + 0.029625))^4.5) - $B$16)/$B$8</f>
        <v/>
      </c>
      <c r="D110" s="40">
        <f>(($C$58/(1+(0.5*(D$107 + $A110*0.055) + 0.029625))^0.5 + $D$58/(1+(0.5*(D$107 + $A110*0.055) + 0.029625))^1.5 + $E$58/(1+(0.5*(D$107 + $A110*0.055) + 0.029625))^2.5 + $F$58/(1+(0.5*(D$107 + $A110*0.055) + 0.029625))^3.5 + $G$58/(1+(0.5*(D$107 + $A110*0.055) + 0.029625))^4.5 + ($G$58*(1+$G$40)/((0.5*(D$107 + $A110*0.055) + 0.029625)-$G$40))/(1+(0.5*(D$107 + $A110*0.055) + 0.029625))^4.5) - $B$16)/$B$8</f>
        <v/>
      </c>
      <c r="E110" s="38">
        <f>(($C$58/(1+(0.5*(E$107 + $A110*0.055) + 0.029625))^0.5 + $D$58/(1+(0.5*(E$107 + $A110*0.055) + 0.029625))^1.5 + $E$58/(1+(0.5*(E$107 + $A110*0.055) + 0.029625))^2.5 + $F$58/(1+(0.5*(E$107 + $A110*0.055) + 0.029625))^3.5 + $G$58/(1+(0.5*(E$107 + $A110*0.055) + 0.029625))^4.5 + ($G$58*(1+$G$40)/((0.5*(E$107 + $A110*0.055) + 0.029625)-$G$40))/(1+(0.5*(E$107 + $A110*0.055) + 0.029625))^4.5) - $B$16)/$B$8</f>
        <v/>
      </c>
      <c r="F110" s="38">
        <f>(($C$58/(1+(0.5*(F$107 + $A110*0.055) + 0.029625))^0.5 + $D$58/(1+(0.5*(F$107 + $A110*0.055) + 0.029625))^1.5 + $E$58/(1+(0.5*(F$107 + $A110*0.055) + 0.029625))^2.5 + $F$58/(1+(0.5*(F$107 + $A110*0.055) + 0.029625))^3.5 + $G$58/(1+(0.5*(F$107 + $A110*0.055) + 0.029625))^4.5 + ($G$58*(1+$G$40)/((0.5*(F$107 + $A110*0.055) + 0.029625)-$G$40))/(1+(0.5*(F$107 + $A110*0.055) + 0.029625))^4.5) - $B$16)/$B$8</f>
        <v/>
      </c>
    </row>
    <row r="111">
      <c r="A111" s="43" t="n">
        <v>1.85</v>
      </c>
      <c r="B111" s="38">
        <f>(($C$58/(1+(0.5*(B$107 + $A111*0.055) + 0.029625))^0.5 + $D$58/(1+(0.5*(B$107 + $A111*0.055) + 0.029625))^1.5 + $E$58/(1+(0.5*(B$107 + $A111*0.055) + 0.029625))^2.5 + $F$58/(1+(0.5*(B$107 + $A111*0.055) + 0.029625))^3.5 + $G$58/(1+(0.5*(B$107 + $A111*0.055) + 0.029625))^4.5 + ($G$58*(1+$G$40)/((0.5*(B$107 + $A111*0.055) + 0.029625)-$G$40))/(1+(0.5*(B$107 + $A111*0.055) + 0.029625))^4.5) - $B$16)/$B$8</f>
        <v/>
      </c>
      <c r="C111" s="38">
        <f>(($C$58/(1+(0.5*(C$107 + $A111*0.055) + 0.029625))^0.5 + $D$58/(1+(0.5*(C$107 + $A111*0.055) + 0.029625))^1.5 + $E$58/(1+(0.5*(C$107 + $A111*0.055) + 0.029625))^2.5 + $F$58/(1+(0.5*(C$107 + $A111*0.055) + 0.029625))^3.5 + $G$58/(1+(0.5*(C$107 + $A111*0.055) + 0.029625))^4.5 + ($G$58*(1+$G$40)/((0.5*(C$107 + $A111*0.055) + 0.029625)-$G$40))/(1+(0.5*(C$107 + $A111*0.055) + 0.029625))^4.5) - $B$16)/$B$8</f>
        <v/>
      </c>
      <c r="D111" s="38">
        <f>(($C$58/(1+(0.5*(D$107 + $A111*0.055) + 0.029625))^0.5 + $D$58/(1+(0.5*(D$107 + $A111*0.055) + 0.029625))^1.5 + $E$58/(1+(0.5*(D$107 + $A111*0.055) + 0.029625))^2.5 + $F$58/(1+(0.5*(D$107 + $A111*0.055) + 0.029625))^3.5 + $G$58/(1+(0.5*(D$107 + $A111*0.055) + 0.029625))^4.5 + ($G$58*(1+$G$40)/((0.5*(D$107 + $A111*0.055) + 0.029625)-$G$40))/(1+(0.5*(D$107 + $A111*0.055) + 0.029625))^4.5) - $B$16)/$B$8</f>
        <v/>
      </c>
      <c r="E111" s="38">
        <f>(($C$58/(1+(0.5*(E$107 + $A111*0.055) + 0.029625))^0.5 + $D$58/(1+(0.5*(E$107 + $A111*0.055) + 0.029625))^1.5 + $E$58/(1+(0.5*(E$107 + $A111*0.055) + 0.029625))^2.5 + $F$58/(1+(0.5*(E$107 + $A111*0.055) + 0.029625))^3.5 + $G$58/(1+(0.5*(E$107 + $A111*0.055) + 0.029625))^4.5 + ($G$58*(1+$G$40)/((0.5*(E$107 + $A111*0.055) + 0.029625)-$G$40))/(1+(0.5*(E$107 + $A111*0.055) + 0.029625))^4.5) - $B$16)/$B$8</f>
        <v/>
      </c>
      <c r="F111" s="38">
        <f>(($C$58/(1+(0.5*(F$107 + $A111*0.055) + 0.029625))^0.5 + $D$58/(1+(0.5*(F$107 + $A111*0.055) + 0.029625))^1.5 + $E$58/(1+(0.5*(F$107 + $A111*0.055) + 0.029625))^2.5 + $F$58/(1+(0.5*(F$107 + $A111*0.055) + 0.029625))^3.5 + $G$58/(1+(0.5*(F$107 + $A111*0.055) + 0.029625))^4.5 + ($G$58*(1+$G$40)/((0.5*(F$107 + $A111*0.055) + 0.029625)-$G$40))/(1+(0.5*(F$107 + $A111*0.055) + 0.029625))^4.5) - $B$16)/$B$8</f>
        <v/>
      </c>
    </row>
    <row r="112">
      <c r="A112" s="43" t="n">
        <v>2.05</v>
      </c>
      <c r="B112" s="38">
        <f>(($C$58/(1+(0.5*(B$107 + $A112*0.055) + 0.029625))^0.5 + $D$58/(1+(0.5*(B$107 + $A112*0.055) + 0.029625))^1.5 + $E$58/(1+(0.5*(B$107 + $A112*0.055) + 0.029625))^2.5 + $F$58/(1+(0.5*(B$107 + $A112*0.055) + 0.029625))^3.5 + $G$58/(1+(0.5*(B$107 + $A112*0.055) + 0.029625))^4.5 + ($G$58*(1+$G$40)/((0.5*(B$107 + $A112*0.055) + 0.029625)-$G$40))/(1+(0.5*(B$107 + $A112*0.055) + 0.029625))^4.5) - $B$16)/$B$8</f>
        <v/>
      </c>
      <c r="C112" s="38">
        <f>(($C$58/(1+(0.5*(C$107 + $A112*0.055) + 0.029625))^0.5 + $D$58/(1+(0.5*(C$107 + $A112*0.055) + 0.029625))^1.5 + $E$58/(1+(0.5*(C$107 + $A112*0.055) + 0.029625))^2.5 + $F$58/(1+(0.5*(C$107 + $A112*0.055) + 0.029625))^3.5 + $G$58/(1+(0.5*(C$107 + $A112*0.055) + 0.029625))^4.5 + ($G$58*(1+$G$40)/((0.5*(C$107 + $A112*0.055) + 0.029625)-$G$40))/(1+(0.5*(C$107 + $A112*0.055) + 0.029625))^4.5) - $B$16)/$B$8</f>
        <v/>
      </c>
      <c r="D112" s="38">
        <f>(($C$58/(1+(0.5*(D$107 + $A112*0.055) + 0.029625))^0.5 + $D$58/(1+(0.5*(D$107 + $A112*0.055) + 0.029625))^1.5 + $E$58/(1+(0.5*(D$107 + $A112*0.055) + 0.029625))^2.5 + $F$58/(1+(0.5*(D$107 + $A112*0.055) + 0.029625))^3.5 + $G$58/(1+(0.5*(D$107 + $A112*0.055) + 0.029625))^4.5 + ($G$58*(1+$G$40)/((0.5*(D$107 + $A112*0.055) + 0.029625)-$G$40))/(1+(0.5*(D$107 + $A112*0.055) + 0.029625))^4.5) - $B$16)/$B$8</f>
        <v/>
      </c>
      <c r="E112" s="38">
        <f>(($C$58/(1+(0.5*(E$107 + $A112*0.055) + 0.029625))^0.5 + $D$58/(1+(0.5*(E$107 + $A112*0.055) + 0.029625))^1.5 + $E$58/(1+(0.5*(E$107 + $A112*0.055) + 0.029625))^2.5 + $F$58/(1+(0.5*(E$107 + $A112*0.055) + 0.029625))^3.5 + $G$58/(1+(0.5*(E$107 + $A112*0.055) + 0.029625))^4.5 + ($G$58*(1+$G$40)/((0.5*(E$107 + $A112*0.055) + 0.029625)-$G$40))/(1+(0.5*(E$107 + $A112*0.055) + 0.029625))^4.5) - $B$16)/$B$8</f>
        <v/>
      </c>
      <c r="F112" s="38">
        <f>(($C$58/(1+(0.5*(F$107 + $A112*0.055) + 0.029625))^0.5 + $D$58/(1+(0.5*(F$107 + $A112*0.055) + 0.029625))^1.5 + $E$58/(1+(0.5*(F$107 + $A112*0.055) + 0.029625))^2.5 + $F$58/(1+(0.5*(F$107 + $A112*0.055) + 0.029625))^3.5 + $G$58/(1+(0.5*(F$107 + $A112*0.055) + 0.029625))^4.5 + ($G$58*(1+$G$40)/((0.5*(F$107 + $A112*0.055) + 0.029625)-$G$40))/(1+(0.5*(F$107 + $A112*0.055) + 0.029625))^4.5) - $B$16)/$B$8</f>
        <v/>
      </c>
    </row>
  </sheetData>
  <mergeCells count="16">
    <mergeCell ref="A33:G33"/>
    <mergeCell ref="A68:G68"/>
    <mergeCell ref="A89:G89"/>
    <mergeCell ref="A27:G27"/>
    <mergeCell ref="C65:G65"/>
    <mergeCell ref="A67:G67"/>
    <mergeCell ref="A21:G21"/>
    <mergeCell ref="A6:G6"/>
    <mergeCell ref="A39:G39"/>
    <mergeCell ref="A90:G90"/>
    <mergeCell ref="A106:G106"/>
    <mergeCell ref="A98:G98"/>
    <mergeCell ref="A60:G60"/>
    <mergeCell ref="A76:G76"/>
    <mergeCell ref="A19:G19"/>
    <mergeCell ref="A47:G4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2026-08-17T09:14:48Z</dcterms:created>
  <dcterms:modified xmlns:dcterms="http://purl.org/dc/terms/" xmlns:xsi="http://www.w3.org/2001/XMLSchema-instance" xsi:type="dcterms:W3CDTF">2026-08-17T09:14:48Z</dcterms:modified>
</cp:coreProperties>
</file>