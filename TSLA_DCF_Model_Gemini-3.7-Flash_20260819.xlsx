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$#,##0.00;($#,##0.00);-"/>
    <numFmt numFmtId="167" formatCode="0.0"/>
    <numFmt numFmtId="168" formatCode="0.0000"/>
    <numFmt numFmtId="169" formatCode="+0.0%;-0.0%;0.0%"/>
    <numFmt numFmtId="170" formatCode="0.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1F4E79"/>
      <sz val="11"/>
    </font>
    <font>
      <name val="Calibri"/>
      <b val="1"/>
      <color rgb="00008000"/>
      <sz val="10"/>
    </font>
    <font>
      <name val="Calibri"/>
      <b val="1"/>
      <color rgb="001F4E79"/>
      <sz val="10"/>
    </font>
    <font>
      <name val="Calibri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2" fontId="9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10" fillId="4" borderId="3" pivotButton="0" quotePrefix="0" xfId="0"/>
    <xf numFmtId="0" fontId="0" fillId="4" borderId="3" pivotButton="0" quotePrefix="0" xfId="0"/>
    <xf numFmtId="0" fontId="0" fillId="0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0" fillId="5" borderId="3" pivotButton="0" quotePrefix="0" xfId="0"/>
    <xf numFmtId="0" fontId="0" fillId="5" borderId="3" pivotButton="0" quotePrefix="0" xfId="0"/>
    <xf numFmtId="164" fontId="6" fillId="0" borderId="2" applyAlignment="1" pivotButton="0" quotePrefix="0" xfId="0">
      <alignment horizontal="right" vertical="center"/>
    </xf>
    <xf numFmtId="166" fontId="11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0" fontId="6" fillId="0" borderId="4" pivotButton="0" quotePrefix="0" xfId="0"/>
    <xf numFmtId="166" fontId="6" fillId="5" borderId="4" applyAlignment="1" pivotButton="0" quotePrefix="0" xfId="0">
      <alignment horizontal="right" vertical="center"/>
    </xf>
    <xf numFmtId="166" fontId="6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6" fillId="5" borderId="4" pivotButton="0" quotePrefix="0" xfId="0"/>
    <xf numFmtId="165" fontId="6" fillId="5" borderId="4" applyAlignment="1" pivotButton="0" quotePrefix="0" xfId="0">
      <alignment horizontal="right" vertical="center"/>
    </xf>
    <xf numFmtId="170" fontId="6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69" fontId="6" fillId="5" borderId="4" applyAlignment="1" pivotButton="0" quotePrefix="0" xfId="0">
      <alignment horizontal="right" vertical="center"/>
    </xf>
    <xf numFmtId="164" fontId="6" fillId="4" borderId="3" applyAlignment="1" pivotButton="0" quotePrefix="0" xfId="0">
      <alignment horizontal="center" vertical="center"/>
    </xf>
    <xf numFmtId="164" fontId="6" fillId="5" borderId="3" applyAlignment="1" pivotButton="0" quotePrefix="0" xfId="0">
      <alignment horizontal="center" vertical="center"/>
    </xf>
    <xf numFmtId="10" fontId="6" fillId="4" borderId="2" applyAlignment="1" pivotButton="0" quotePrefix="0" xfId="0">
      <alignment horizontal="right" vertical="center"/>
    </xf>
    <xf numFmtId="10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9" fontId="6" fillId="4" borderId="2" applyAlignment="1" pivotButton="0" quotePrefix="0" xfId="0">
      <alignment horizontal="right" vertical="center"/>
    </xf>
    <xf numFmtId="9" fontId="6" fillId="5" borderId="2" applyAlignment="1" pivotButton="0" quotePrefix="0" xfId="0">
      <alignment horizontal="right" vertical="center"/>
    </xf>
    <xf numFmtId="10" fontId="6" fillId="4" borderId="3" applyAlignment="1" pivotButton="0" quotePrefix="0" xfId="0">
      <alignment horizontal="center" vertical="center"/>
    </xf>
    <xf numFmtId="10" fontId="6" fillId="5" borderId="3" applyAlignment="1" pivotButton="0" quotePrefix="0" xfId="0">
      <alignment horizontal="center" vertical="center"/>
    </xf>
    <xf numFmtId="2" fontId="6" fillId="4" borderId="2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49" fontId="6" fillId="0" borderId="4" applyAlignment="1" pivotButton="0" quotePrefix="0" xfId="0">
      <alignment horizontal="right" vertical="center"/>
    </xf>
    <xf numFmtId="10" fontId="6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  <author>Tesla 10-K / Market Data</author>
  </authors>
  <commentList>
    <comment ref="B4" authorId="0" shapeId="0">
      <text>
        <t>Case Selector: 1 = Bear Case (EV Saturation / FSD Delay), 2 = Base Case (Next-Gen Platform + Energy Scaling), 3 = Bull Case (Robotaxi &amp; Optimus Commercialization)</t>
      </text>
    </comment>
    <comment ref="B7" authorId="1" shapeId="0">
      <text>
        <t>Source: Market close price as of August 19, 2026</t>
      </text>
    </comment>
    <comment ref="B8" authorId="1" shapeId="0">
      <text>
        <t>Source: SEC Form 10-K diluted share count reflecting stock compensation (3,760M shares)</t>
      </text>
    </comment>
    <comment ref="B10" authorId="1" shapeId="0">
      <text>
        <t>Source: SEC Form 10-K Balance Sheet cash, cash equivalents &amp; marketable securities ($44.06B)</t>
      </text>
    </comment>
    <comment ref="B11" authorId="1" shapeId="0">
      <text>
        <t>Source: SEC Form 10-K Balance Sheet total carrying debt balance ($8.38B)</t>
      </text>
    </comment>
    <comment ref="B14" authorId="1" shapeId="0">
      <text>
        <t>Source: Normalized corporate effective tax rate</t>
      </text>
    </comment>
    <comment ref="B53" authorId="0" shapeId="0">
      <text>
        <t>Source: SEC Form 10-K FY2025 Consolidated Financial Statements</t>
      </text>
    </comment>
    <comment ref="B55" authorId="0" shapeId="0">
      <text>
        <t>Source: SEC Form 10-K FY2025 Consolidated Financial Statements</t>
      </text>
    </comment>
    <comment ref="B63" authorId="0" shapeId="0">
      <text>
        <t>Source: SEC Form 10-K FY2025 Statement of Cash Flows</t>
      </text>
    </comment>
    <comment ref="B64" authorId="0" shapeId="0">
      <text>
        <t>Source: SEC Form 10-K FY2025 Statement of Cash Flows</t>
      </text>
    </comment>
    <comment ref="B65" authorId="0" shapeId="0">
      <text>
        <t>Source: SEC Form 10-K FY2025 Statement of Cash Flows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10-Year Treasury Yield benchmark as of August 19, 2026</t>
      </text>
    </comment>
    <comment ref="B6" authorId="0" shapeId="0">
      <text>
        <t>Source: Market data 5-year monthly regression beta reflecting growth &amp; AI volatility</t>
      </text>
    </comment>
    <comment ref="B7" authorId="0" shapeId="0">
      <text>
        <t>Source: Institutional consensus equity risk premium (5.50%)</t>
      </text>
    </comment>
    <comment ref="B11" authorId="0" shapeId="0">
      <text>
        <t>Source: SEC Form 10-K &amp; senior notes effective borrowing rate estimate</t>
      </text>
    </comment>
    <comment ref="B12" authorId="0" shapeId="0">
      <text>
        <t>Source: Form 10-K normalized statutory federal and state marginal corporate tax rate</t>
      </text>
    </comment>
    <comment ref="B17" authorId="0" shapeId="0">
      <text>
        <t>Source: SEC Form 10-K Balance Sheet total carrying debt balance ($8.38B)</t>
      </text>
    </comment>
    <comment ref="B18" authorId="0" shapeId="0">
      <text>
        <t>Source: SEC Form 10-K Balance Sheet cash &amp; short-term investments ($44.06B)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Tesla, Inc. (NASDAQ: TSLA)</t>
        </is>
      </c>
    </row>
    <row r="2">
      <c r="A2" s="2" t="inlineStr">
        <is>
          <t>Institutional DCF Valuation Model | Report Date: August 19, 2026 | Financial Source: SEC Form 10-K &amp; Consensus Estimates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 (EV Saturation / Margin Pressure / FSD Delay)",IF(B4=2,"[2] BASE CASE (Next-Gen Platform / Megapack Scale / Steady FSD)","[3] BULL CASE (Autonomous Robotaxi Fleet &amp; Optimus Surge)"))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336.5</v>
      </c>
    </row>
    <row r="8">
      <c r="A8" s="8" t="inlineStr">
        <is>
          <t>Diluted Shares Outstanding (M)</t>
        </is>
      </c>
      <c r="B8" s="10" t="n">
        <v>3760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Cash, Cash Equivalents &amp; ST Investments ($M)</t>
        </is>
      </c>
      <c r="B10" s="9" t="n">
        <v>44059</v>
      </c>
    </row>
    <row r="11">
      <c r="A11" s="8" t="inlineStr">
        <is>
          <t>Total Debt (Current + Noncurrent + Leases) ($M)</t>
        </is>
      </c>
      <c r="B11" s="9" t="n">
        <v>8376</v>
      </c>
    </row>
    <row r="12">
      <c r="A12" s="11" t="inlineStr">
        <is>
          <t>Net Debt ($M)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0.21</v>
      </c>
    </row>
    <row r="15">
      <c r="A15" s="11" t="inlineStr">
        <is>
          <t>Risk-Free Rate (10-Yr US Treasury) (%)</t>
        </is>
      </c>
      <c r="B15" s="14">
        <f>'WACC Build'!B5</f>
        <v/>
      </c>
    </row>
    <row r="16">
      <c r="A16" s="11" t="inlineStr">
        <is>
          <t>Equity Beta (5-Year Monthly)</t>
        </is>
      </c>
      <c r="B16" s="15">
        <f>'WACC Build'!B6</f>
        <v/>
      </c>
    </row>
    <row r="17">
      <c r="A17" s="11" t="inlineStr">
        <is>
          <t>Market Equity Risk Premium (ERP) (%)</t>
        </is>
      </c>
      <c r="B17" s="14">
        <f>'WACC Build'!B7</f>
        <v/>
      </c>
    </row>
    <row r="18">
      <c r="A18" s="11" t="inlineStr">
        <is>
          <t>Base Case WACC (%)</t>
        </is>
      </c>
      <c r="B18" s="14">
        <f>'WACC Build'!E26</f>
        <v/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16" t="inlineStr">
        <is>
          <t>Driver / Assumption</t>
        </is>
      </c>
      <c r="B21" s="17" t="inlineStr">
        <is>
          <t>FY2025A</t>
        </is>
      </c>
      <c r="C21" s="17" t="inlineStr">
        <is>
          <t>FY2026E</t>
        </is>
      </c>
      <c r="D21" s="17" t="inlineStr">
        <is>
          <t>FY2027E</t>
        </is>
      </c>
      <c r="E21" s="17" t="inlineStr">
        <is>
          <t>FY2028E</t>
        </is>
      </c>
      <c r="F21" s="17" t="inlineStr">
        <is>
          <t>FY2029E</t>
        </is>
      </c>
      <c r="G21" s="17" t="inlineStr">
        <is>
          <t>FY2030E</t>
        </is>
      </c>
      <c r="H21" s="17" t="inlineStr">
        <is>
          <t>Terminal / WACC</t>
        </is>
      </c>
    </row>
    <row r="22">
      <c r="A22" s="18" t="inlineStr">
        <is>
          <t>Bear Case Assumptions (Selector = 1)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8" t="inlineStr">
        <is>
          <t xml:space="preserve">  Revenue Growth (%)</t>
        </is>
      </c>
      <c r="B23" s="20" t="inlineStr">
        <is>
          <t>-</t>
        </is>
      </c>
      <c r="C23" s="13" t="n">
        <v>0.05</v>
      </c>
      <c r="D23" s="13" t="n">
        <v>0.06</v>
      </c>
      <c r="E23" s="13" t="n">
        <v>0.07000000000000001</v>
      </c>
      <c r="F23" s="13" t="n">
        <v>0.06</v>
      </c>
      <c r="G23" s="13" t="n">
        <v>0.05</v>
      </c>
      <c r="H23" s="21" t="n">
        <v>0.025</v>
      </c>
    </row>
    <row r="24">
      <c r="A24" s="8" t="inlineStr">
        <is>
          <t xml:space="preserve">  EBIT Margin (%)</t>
        </is>
      </c>
      <c r="B24" s="20" t="inlineStr">
        <is>
          <t>-</t>
        </is>
      </c>
      <c r="C24" s="13" t="n">
        <v>0.05</v>
      </c>
      <c r="D24" s="13" t="n">
        <v>0.06</v>
      </c>
      <c r="E24" s="13" t="n">
        <v>0.07000000000000001</v>
      </c>
      <c r="F24" s="13" t="n">
        <v>0.075</v>
      </c>
      <c r="G24" s="13" t="n">
        <v>0.08</v>
      </c>
      <c r="H24" s="21" t="n">
        <v>0.155</v>
      </c>
    </row>
    <row r="25">
      <c r="A25" s="8" t="inlineStr">
        <is>
          <t xml:space="preserve">  D&amp;A (% of Revenue)</t>
        </is>
      </c>
      <c r="B25" s="20" t="inlineStr">
        <is>
          <t>-</t>
        </is>
      </c>
      <c r="C25" s="13" t="n">
        <v>0.065</v>
      </c>
      <c r="D25" s="13" t="n">
        <v>0.063</v>
      </c>
      <c r="E25" s="13" t="n">
        <v>0.06</v>
      </c>
      <c r="F25" s="13" t="n">
        <v>0.058</v>
      </c>
      <c r="G25" s="13" t="n">
        <v>0.055</v>
      </c>
      <c r="H25" s="20" t="inlineStr">
        <is>
          <t>-</t>
        </is>
      </c>
    </row>
    <row r="26">
      <c r="A26" s="8" t="inlineStr">
        <is>
          <t xml:space="preserve">  CapEx (% of Revenue)</t>
        </is>
      </c>
      <c r="B26" s="20" t="inlineStr">
        <is>
          <t>-</t>
        </is>
      </c>
      <c r="C26" s="13" t="n">
        <v>0.09</v>
      </c>
      <c r="D26" s="13" t="n">
        <v>0.08799999999999999</v>
      </c>
      <c r="E26" s="13" t="n">
        <v>0.08500000000000001</v>
      </c>
      <c r="F26" s="13" t="n">
        <v>0.082</v>
      </c>
      <c r="G26" s="13" t="n">
        <v>0.08</v>
      </c>
      <c r="H26" s="20" t="inlineStr">
        <is>
          <t>-</t>
        </is>
      </c>
    </row>
    <row r="27">
      <c r="A27" s="8" t="inlineStr">
        <is>
          <t xml:space="preserve">  Δ NWC (% of Δ Revenue)</t>
        </is>
      </c>
      <c r="B27" s="20" t="inlineStr">
        <is>
          <t>-</t>
        </is>
      </c>
      <c r="C27" s="13" t="n">
        <v>0.03</v>
      </c>
      <c r="D27" s="13" t="n">
        <v>0.03</v>
      </c>
      <c r="E27" s="13" t="n">
        <v>0.03</v>
      </c>
      <c r="F27" s="13" t="n">
        <v>0.03</v>
      </c>
      <c r="G27" s="13" t="n">
        <v>0.03</v>
      </c>
      <c r="H27" s="20" t="inlineStr">
        <is>
          <t>-</t>
        </is>
      </c>
    </row>
    <row r="29">
      <c r="A29" s="18" t="inlineStr">
        <is>
          <t>Base Case Assumptions (Selector = 2)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>
      <c r="A30" s="8" t="inlineStr">
        <is>
          <t xml:space="preserve">  Revenue Growth (%)</t>
        </is>
      </c>
      <c r="B30" s="20" t="inlineStr">
        <is>
          <t>-</t>
        </is>
      </c>
      <c r="C30" s="13" t="n">
        <v>0.11</v>
      </c>
      <c r="D30" s="13" t="n">
        <v>0.15</v>
      </c>
      <c r="E30" s="13" t="n">
        <v>0.16</v>
      </c>
      <c r="F30" s="13" t="n">
        <v>0.14</v>
      </c>
      <c r="G30" s="13" t="n">
        <v>0.12</v>
      </c>
      <c r="H30" s="21" t="n">
        <v>0.03</v>
      </c>
    </row>
    <row r="31">
      <c r="A31" s="8" t="inlineStr">
        <is>
          <t xml:space="preserve">  EBIT Margin (%)</t>
        </is>
      </c>
      <c r="B31" s="20" t="inlineStr">
        <is>
          <t>-</t>
        </is>
      </c>
      <c r="C31" s="13" t="n">
        <v>0.06</v>
      </c>
      <c r="D31" s="13" t="n">
        <v>0.08</v>
      </c>
      <c r="E31" s="13" t="n">
        <v>0.105</v>
      </c>
      <c r="F31" s="13" t="n">
        <v>0.122</v>
      </c>
      <c r="G31" s="13" t="n">
        <v>0.138</v>
      </c>
      <c r="H31" s="22">
        <f>'WACC Build'!E26</f>
        <v/>
      </c>
    </row>
    <row r="32">
      <c r="A32" s="8" t="inlineStr">
        <is>
          <t xml:space="preserve">  D&amp;A (% of Revenue)</t>
        </is>
      </c>
      <c r="B32" s="20" t="inlineStr">
        <is>
          <t>-</t>
        </is>
      </c>
      <c r="C32" s="13" t="n">
        <v>0.058</v>
      </c>
      <c r="D32" s="13" t="n">
        <v>0.055</v>
      </c>
      <c r="E32" s="13" t="n">
        <v>0.052</v>
      </c>
      <c r="F32" s="13" t="n">
        <v>0.05</v>
      </c>
      <c r="G32" s="13" t="n">
        <v>0.048</v>
      </c>
      <c r="H32" s="20" t="inlineStr">
        <is>
          <t>-</t>
        </is>
      </c>
    </row>
    <row r="33">
      <c r="A33" s="8" t="inlineStr">
        <is>
          <t xml:space="preserve">  CapEx (% of Revenue)</t>
        </is>
      </c>
      <c r="B33" s="20" t="inlineStr">
        <is>
          <t>-</t>
        </is>
      </c>
      <c r="C33" s="13" t="n">
        <v>0.08500000000000001</v>
      </c>
      <c r="D33" s="13" t="n">
        <v>0.08</v>
      </c>
      <c r="E33" s="13" t="n">
        <v>0.075</v>
      </c>
      <c r="F33" s="13" t="n">
        <v>0.07000000000000001</v>
      </c>
      <c r="G33" s="13" t="n">
        <v>0.065</v>
      </c>
      <c r="H33" s="20" t="inlineStr">
        <is>
          <t>-</t>
        </is>
      </c>
    </row>
    <row r="34">
      <c r="A34" s="8" t="inlineStr">
        <is>
          <t xml:space="preserve">  Δ NWC (% of Δ Revenue)</t>
        </is>
      </c>
      <c r="B34" s="20" t="inlineStr">
        <is>
          <t>-</t>
        </is>
      </c>
      <c r="C34" s="13" t="n">
        <v>0.025</v>
      </c>
      <c r="D34" s="13" t="n">
        <v>0.025</v>
      </c>
      <c r="E34" s="13" t="n">
        <v>0.025</v>
      </c>
      <c r="F34" s="13" t="n">
        <v>0.025</v>
      </c>
      <c r="G34" s="13" t="n">
        <v>0.025</v>
      </c>
      <c r="H34" s="20" t="inlineStr">
        <is>
          <t>-</t>
        </is>
      </c>
    </row>
    <row r="36">
      <c r="A36" s="18" t="inlineStr">
        <is>
          <t>Bull Case Assumptions (Selector = 3)</t>
        </is>
      </c>
      <c r="B36" s="19" t="n"/>
      <c r="C36" s="19" t="n"/>
      <c r="D36" s="19" t="n"/>
      <c r="E36" s="19" t="n"/>
      <c r="F36" s="19" t="n"/>
      <c r="G36" s="19" t="n"/>
      <c r="H36" s="19" t="n"/>
    </row>
    <row r="37">
      <c r="A37" s="8" t="inlineStr">
        <is>
          <t xml:space="preserve">  Revenue Growth (%)</t>
        </is>
      </c>
      <c r="B37" s="20" t="inlineStr">
        <is>
          <t>-</t>
        </is>
      </c>
      <c r="C37" s="13" t="n">
        <v>0.18</v>
      </c>
      <c r="D37" s="13" t="n">
        <v>0.25</v>
      </c>
      <c r="E37" s="13" t="n">
        <v>0.28</v>
      </c>
      <c r="F37" s="13" t="n">
        <v>0.24</v>
      </c>
      <c r="G37" s="13" t="n">
        <v>0.2</v>
      </c>
      <c r="H37" s="21" t="n">
        <v>0.04</v>
      </c>
    </row>
    <row r="38">
      <c r="A38" s="8" t="inlineStr">
        <is>
          <t xml:space="preserve">  EBIT Margin (%)</t>
        </is>
      </c>
      <c r="B38" s="20" t="inlineStr">
        <is>
          <t>-</t>
        </is>
      </c>
      <c r="C38" s="13" t="n">
        <v>0.08500000000000001</v>
      </c>
      <c r="D38" s="13" t="n">
        <v>0.13</v>
      </c>
      <c r="E38" s="13" t="n">
        <v>0.175</v>
      </c>
      <c r="F38" s="13" t="n">
        <v>0.205</v>
      </c>
      <c r="G38" s="13" t="n">
        <v>0.23</v>
      </c>
      <c r="H38" s="21" t="n">
        <v>0.135</v>
      </c>
    </row>
    <row r="39">
      <c r="A39" s="8" t="inlineStr">
        <is>
          <t xml:space="preserve">  D&amp;A (% of Revenue)</t>
        </is>
      </c>
      <c r="B39" s="20" t="inlineStr">
        <is>
          <t>-</t>
        </is>
      </c>
      <c r="C39" s="13" t="n">
        <v>0.055</v>
      </c>
      <c r="D39" s="13" t="n">
        <v>0.052</v>
      </c>
      <c r="E39" s="13" t="n">
        <v>0.05</v>
      </c>
      <c r="F39" s="13" t="n">
        <v>0.048</v>
      </c>
      <c r="G39" s="13" t="n">
        <v>0.045</v>
      </c>
      <c r="H39" s="20" t="inlineStr">
        <is>
          <t>-</t>
        </is>
      </c>
    </row>
    <row r="40">
      <c r="A40" s="8" t="inlineStr">
        <is>
          <t xml:space="preserve">  CapEx (% of Revenue)</t>
        </is>
      </c>
      <c r="B40" s="20" t="inlineStr">
        <is>
          <t>-</t>
        </is>
      </c>
      <c r="C40" s="13" t="n">
        <v>0.08</v>
      </c>
      <c r="D40" s="13" t="n">
        <v>0.075</v>
      </c>
      <c r="E40" s="13" t="n">
        <v>0.07000000000000001</v>
      </c>
      <c r="F40" s="13" t="n">
        <v>0.065</v>
      </c>
      <c r="G40" s="13" t="n">
        <v>0.06</v>
      </c>
      <c r="H40" s="20" t="inlineStr">
        <is>
          <t>-</t>
        </is>
      </c>
    </row>
    <row r="41">
      <c r="A41" s="8" t="inlineStr">
        <is>
          <t xml:space="preserve">  Δ NWC (% of Δ Revenue)</t>
        </is>
      </c>
      <c r="B41" s="20" t="inlineStr">
        <is>
          <t>-</t>
        </is>
      </c>
      <c r="C41" s="13" t="n">
        <v>0.02</v>
      </c>
      <c r="D41" s="13" t="n">
        <v>0.02</v>
      </c>
      <c r="E41" s="13" t="n">
        <v>0.02</v>
      </c>
      <c r="F41" s="13" t="n">
        <v>0.02</v>
      </c>
      <c r="G41" s="13" t="n">
        <v>0.02</v>
      </c>
      <c r="H41" s="20" t="inlineStr">
        <is>
          <t>-</t>
        </is>
      </c>
    </row>
    <row r="43">
      <c r="A43" s="23" t="inlineStr">
        <is>
          <t>ACTIVE CONSOLIDATED DRIVERS (PULLED VIA INDEX FORMULAS)</t>
        </is>
      </c>
      <c r="B43" s="24" t="n"/>
      <c r="C43" s="24" t="n"/>
      <c r="D43" s="24" t="n"/>
      <c r="E43" s="24" t="n"/>
      <c r="F43" s="24" t="n"/>
      <c r="G43" s="24" t="n"/>
      <c r="H43" s="24" t="n"/>
    </row>
    <row r="44">
      <c r="A44" s="11" t="inlineStr">
        <is>
          <t xml:space="preserve">  Active Revenue Growth (%)</t>
        </is>
      </c>
      <c r="B44" s="20" t="inlineStr">
        <is>
          <t>-</t>
        </is>
      </c>
      <c r="C44" s="25">
        <f>INDEX((C$23,C$30,C$37),1,1,$B$4)</f>
        <v/>
      </c>
      <c r="D44" s="25">
        <f>INDEX((D$23,D$30,D$37),1,1,$B$4)</f>
        <v/>
      </c>
      <c r="E44" s="25">
        <f>INDEX((E$23,E$30,E$37),1,1,$B$4)</f>
        <v/>
      </c>
      <c r="F44" s="25">
        <f>INDEX((F$23,F$30,F$37),1,1,$B$4)</f>
        <v/>
      </c>
      <c r="G44" s="25">
        <f>INDEX((G$23,G$30,G$37),1,1,$B$4)</f>
        <v/>
      </c>
      <c r="H44" s="25">
        <f>INDEX((H$23,H$30,H$37),1,1,$B$4)</f>
        <v/>
      </c>
    </row>
    <row r="45">
      <c r="A45" s="11" t="inlineStr">
        <is>
          <t xml:space="preserve">  Active EBIT Margin (%)</t>
        </is>
      </c>
      <c r="B45" s="20" t="inlineStr">
        <is>
          <t>-</t>
        </is>
      </c>
      <c r="C45" s="25">
        <f>INDEX((C$24,C$31,C$38),1,1,$B$4)</f>
        <v/>
      </c>
      <c r="D45" s="25">
        <f>INDEX((D$24,D$31,D$38),1,1,$B$4)</f>
        <v/>
      </c>
      <c r="E45" s="25">
        <f>INDEX((E$24,E$31,E$38),1,1,$B$4)</f>
        <v/>
      </c>
      <c r="F45" s="25">
        <f>INDEX((F$24,F$31,F$38),1,1,$B$4)</f>
        <v/>
      </c>
      <c r="G45" s="25">
        <f>INDEX((G$24,G$31,G$38),1,1,$B$4)</f>
        <v/>
      </c>
      <c r="H45" s="25">
        <f>INDEX((H$24,H$31,H$38),1,1,$B$4)</f>
        <v/>
      </c>
    </row>
    <row r="46">
      <c r="A46" s="11" t="inlineStr">
        <is>
          <t xml:space="preserve">  Active D&amp;A (% of Revenue)</t>
        </is>
      </c>
      <c r="B46" s="20" t="inlineStr">
        <is>
          <t>-</t>
        </is>
      </c>
      <c r="C46" s="25">
        <f>INDEX((C$25,C$32,C$39),1,1,$B$4)</f>
        <v/>
      </c>
      <c r="D46" s="25">
        <f>INDEX((D$25,D$32,D$39),1,1,$B$4)</f>
        <v/>
      </c>
      <c r="E46" s="25">
        <f>INDEX((E$25,E$32,E$39),1,1,$B$4)</f>
        <v/>
      </c>
      <c r="F46" s="25">
        <f>INDEX((F$25,F$32,F$39),1,1,$B$4)</f>
        <v/>
      </c>
      <c r="G46" s="25">
        <f>INDEX((G$25,G$32,G$39),1,1,$B$4)</f>
        <v/>
      </c>
      <c r="H46" s="20" t="inlineStr">
        <is>
          <t>-</t>
        </is>
      </c>
    </row>
    <row r="47">
      <c r="A47" s="11" t="inlineStr">
        <is>
          <t xml:space="preserve">  Active CapEx (% of Revenue)</t>
        </is>
      </c>
      <c r="B47" s="20" t="inlineStr">
        <is>
          <t>-</t>
        </is>
      </c>
      <c r="C47" s="25">
        <f>INDEX((C$26,C$33,C$40),1,1,$B$4)</f>
        <v/>
      </c>
      <c r="D47" s="25">
        <f>INDEX((D$26,D$33,D$40),1,1,$B$4)</f>
        <v/>
      </c>
      <c r="E47" s="25">
        <f>INDEX((E$26,E$33,E$40),1,1,$B$4)</f>
        <v/>
      </c>
      <c r="F47" s="25">
        <f>INDEX((F$26,F$33,F$40),1,1,$B$4)</f>
        <v/>
      </c>
      <c r="G47" s="25">
        <f>INDEX((G$26,G$33,G$40),1,1,$B$4)</f>
        <v/>
      </c>
      <c r="H47" s="20" t="inlineStr">
        <is>
          <t>-</t>
        </is>
      </c>
    </row>
    <row r="48">
      <c r="A48" s="11" t="inlineStr">
        <is>
          <t xml:space="preserve">  Active Δ NWC (% of Δ Revenue)</t>
        </is>
      </c>
      <c r="B48" s="20" t="inlineStr">
        <is>
          <t>-</t>
        </is>
      </c>
      <c r="C48" s="25">
        <f>INDEX((C$27,C$34,C$41),1,1,$B$4)</f>
        <v/>
      </c>
      <c r="D48" s="25">
        <f>INDEX((D$27,D$34,D$41),1,1,$B$4)</f>
        <v/>
      </c>
      <c r="E48" s="25">
        <f>INDEX((E$27,E$34,E$41),1,1,$B$4)</f>
        <v/>
      </c>
      <c r="F48" s="25">
        <f>INDEX((F$27,F$34,F$41),1,1,$B$4)</f>
        <v/>
      </c>
      <c r="G48" s="25">
        <f>INDEX((G$27,G$34,G$41),1,1,$B$4)</f>
        <v/>
      </c>
      <c r="H48" s="20" t="inlineStr">
        <is>
          <t>-</t>
        </is>
      </c>
    </row>
    <row r="51">
      <c r="A51" s="6" t="inlineStr">
        <is>
          <t>III. FINANCIAL PERFORMANCE &amp; 5-YEAR PROJECTIONS ($M)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16" t="inlineStr">
        <is>
          <t>Line Item ($M)</t>
        </is>
      </c>
      <c r="B52" s="17" t="inlineStr">
        <is>
          <t>FY2025A</t>
        </is>
      </c>
      <c r="C52" s="17" t="inlineStr">
        <is>
          <t>FY2026E</t>
        </is>
      </c>
      <c r="D52" s="17" t="inlineStr">
        <is>
          <t>FY2027E</t>
        </is>
      </c>
      <c r="E52" s="17" t="inlineStr">
        <is>
          <t>FY2028E</t>
        </is>
      </c>
      <c r="F52" s="17" t="inlineStr">
        <is>
          <t>FY2029E</t>
        </is>
      </c>
      <c r="G52" s="17" t="inlineStr">
        <is>
          <t>FY2030E</t>
        </is>
      </c>
      <c r="H52" s="17" t="inlineStr">
        <is>
          <t>Terminal Year</t>
        </is>
      </c>
    </row>
    <row r="53">
      <c r="A53" s="11" t="inlineStr">
        <is>
          <t>Total Revenue</t>
        </is>
      </c>
      <c r="B53" s="26" t="n">
        <v>94827</v>
      </c>
      <c r="C53" s="27">
        <f>B53*(1+C44)</f>
        <v/>
      </c>
      <c r="D53" s="27">
        <f>C53*(1+D44)</f>
        <v/>
      </c>
      <c r="E53" s="27">
        <f>D53*(1+E44)</f>
        <v/>
      </c>
      <c r="F53" s="27">
        <f>E53*(1+F44)</f>
        <v/>
      </c>
      <c r="G53" s="27">
        <f>F53*(1+G44)</f>
        <v/>
      </c>
      <c r="H53" s="27">
        <f>G53*(1+H44)</f>
        <v/>
      </c>
    </row>
    <row r="54">
      <c r="A54" s="8" t="inlineStr">
        <is>
          <t xml:space="preserve">  YoY Revenue Growth (%)</t>
        </is>
      </c>
      <c r="B54" s="28" t="inlineStr">
        <is>
          <t>-</t>
        </is>
      </c>
      <c r="C54" s="29">
        <f>C53/B53-1</f>
        <v/>
      </c>
      <c r="D54" s="29">
        <f>D53/C53-1</f>
        <v/>
      </c>
      <c r="E54" s="29">
        <f>E53/D53-1</f>
        <v/>
      </c>
      <c r="F54" s="29">
        <f>F53/E53-1</f>
        <v/>
      </c>
      <c r="G54" s="29">
        <f>G53/F53-1</f>
        <v/>
      </c>
      <c r="H54" s="29">
        <f>H53/G53-1</f>
        <v/>
      </c>
    </row>
    <row r="55">
      <c r="A55" s="11" t="inlineStr">
        <is>
          <t>Operating Income (EBIT)</t>
        </is>
      </c>
      <c r="B55" s="26" t="n">
        <v>4355</v>
      </c>
      <c r="C55" s="27">
        <f>C53*C45</f>
        <v/>
      </c>
      <c r="D55" s="27">
        <f>D53*D45</f>
        <v/>
      </c>
      <c r="E55" s="27">
        <f>E53*E45</f>
        <v/>
      </c>
      <c r="F55" s="27">
        <f>F53*F45</f>
        <v/>
      </c>
      <c r="G55" s="27">
        <f>G53*G45</f>
        <v/>
      </c>
      <c r="H55" s="27">
        <f>H53*G45</f>
        <v/>
      </c>
    </row>
    <row r="56">
      <c r="A56" s="8" t="inlineStr">
        <is>
          <t xml:space="preserve">  EBIT Margin (%)</t>
        </is>
      </c>
      <c r="B56" s="29">
        <f>B55/B53</f>
        <v/>
      </c>
      <c r="C56" s="29">
        <f>C55/C53</f>
        <v/>
      </c>
      <c r="D56" s="29">
        <f>D55/D53</f>
        <v/>
      </c>
      <c r="E56" s="29">
        <f>E55/E53</f>
        <v/>
      </c>
      <c r="F56" s="29">
        <f>F55/F53</f>
        <v/>
      </c>
      <c r="G56" s="29">
        <f>G55/G53</f>
        <v/>
      </c>
      <c r="H56" s="29">
        <f>H55/H53</f>
        <v/>
      </c>
    </row>
    <row r="57">
      <c r="A57" s="8" t="inlineStr">
        <is>
          <t>(-) Taxes on EBIT</t>
        </is>
      </c>
      <c r="B57" s="30">
        <f>IF(B55&gt;0,B55*$B$14,0)</f>
        <v/>
      </c>
      <c r="C57" s="30">
        <f>IF(C55&gt;0,C55*$B$14,0)</f>
        <v/>
      </c>
      <c r="D57" s="30">
        <f>IF(D55&gt;0,D55*$B$14,0)</f>
        <v/>
      </c>
      <c r="E57" s="30">
        <f>IF(E55&gt;0,E55*$B$14,0)</f>
        <v/>
      </c>
      <c r="F57" s="30">
        <f>IF(F55&gt;0,F55*$B$14,0)</f>
        <v/>
      </c>
      <c r="G57" s="30">
        <f>IF(G55&gt;0,G55*$B$14,0)</f>
        <v/>
      </c>
      <c r="H57" s="30">
        <f>IF(H55&gt;0,H55*$B$14,0)</f>
        <v/>
      </c>
    </row>
    <row r="58">
      <c r="A58" s="11" t="inlineStr">
        <is>
          <t>Net Operating Profit After Tax (NOPAT)</t>
        </is>
      </c>
      <c r="B58" s="27">
        <f>B55-B57</f>
        <v/>
      </c>
      <c r="C58" s="27">
        <f>C55-C57</f>
        <v/>
      </c>
      <c r="D58" s="27">
        <f>D55-D57</f>
        <v/>
      </c>
      <c r="E58" s="27">
        <f>E55-E57</f>
        <v/>
      </c>
      <c r="F58" s="27">
        <f>F55-F57</f>
        <v/>
      </c>
      <c r="G58" s="27">
        <f>G55-G57</f>
        <v/>
      </c>
      <c r="H58" s="27">
        <f>H55-H57</f>
        <v/>
      </c>
    </row>
    <row r="60">
      <c r="A60" s="6" t="inlineStr">
        <is>
          <t>IV. UNLEVERED FREE CASH FLOW (UFCF) BUILD ($M)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16" t="inlineStr">
        <is>
          <t>Cash Flow Line Item ($M)</t>
        </is>
      </c>
      <c r="B61" s="17" t="inlineStr">
        <is>
          <t>FY2025A</t>
        </is>
      </c>
      <c r="C61" s="17" t="inlineStr">
        <is>
          <t>FY2026E</t>
        </is>
      </c>
      <c r="D61" s="17" t="inlineStr">
        <is>
          <t>FY2027E</t>
        </is>
      </c>
      <c r="E61" s="17" t="inlineStr">
        <is>
          <t>FY2028E</t>
        </is>
      </c>
      <c r="F61" s="17" t="inlineStr">
        <is>
          <t>FY2029E</t>
        </is>
      </c>
      <c r="G61" s="17" t="inlineStr">
        <is>
          <t>FY2030E</t>
        </is>
      </c>
      <c r="H61" s="17" t="inlineStr">
        <is>
          <t>Terminal Year</t>
        </is>
      </c>
    </row>
    <row r="62">
      <c r="A62" s="11" t="inlineStr">
        <is>
          <t>Net Operating Profit After Tax (NOPAT)</t>
        </is>
      </c>
      <c r="B62" s="27">
        <f>B58</f>
        <v/>
      </c>
      <c r="C62" s="27">
        <f>C58</f>
        <v/>
      </c>
      <c r="D62" s="27">
        <f>D58</f>
        <v/>
      </c>
      <c r="E62" s="27">
        <f>E58</f>
        <v/>
      </c>
      <c r="F62" s="27">
        <f>F58</f>
        <v/>
      </c>
      <c r="G62" s="27">
        <f>G58</f>
        <v/>
      </c>
      <c r="H62" s="27">
        <f>H58</f>
        <v/>
      </c>
    </row>
    <row r="63">
      <c r="A63" s="8" t="inlineStr">
        <is>
          <t>(+) Depreciation &amp; Amortization (D&amp;A)</t>
        </is>
      </c>
      <c r="B63" s="31" t="n">
        <v>6200</v>
      </c>
      <c r="C63" s="30">
        <f>C53*C46</f>
        <v/>
      </c>
      <c r="D63" s="30">
        <f>D53*D46</f>
        <v/>
      </c>
      <c r="E63" s="30">
        <f>E53*E46</f>
        <v/>
      </c>
      <c r="F63" s="30">
        <f>F53*F46</f>
        <v/>
      </c>
      <c r="G63" s="30">
        <f>G53*G46</f>
        <v/>
      </c>
      <c r="H63" s="30">
        <f>H53*G46</f>
        <v/>
      </c>
    </row>
    <row r="64">
      <c r="A64" s="8" t="inlineStr">
        <is>
          <t>(-) Capital Expenditures (CapEx)</t>
        </is>
      </c>
      <c r="B64" s="31" t="n">
        <v>8530</v>
      </c>
      <c r="C64" s="30">
        <f>C53*C47</f>
        <v/>
      </c>
      <c r="D64" s="30">
        <f>D53*D47</f>
        <v/>
      </c>
      <c r="E64" s="30">
        <f>E53*E47</f>
        <v/>
      </c>
      <c r="F64" s="30">
        <f>F53*F47</f>
        <v/>
      </c>
      <c r="G64" s="30">
        <f>G53*G47</f>
        <v/>
      </c>
      <c r="H64" s="30">
        <f>H53*G47</f>
        <v/>
      </c>
    </row>
    <row r="65">
      <c r="A65" s="8" t="inlineStr">
        <is>
          <t>(-) Change in Net Working Capital (Δ NWC)</t>
        </is>
      </c>
      <c r="B65" s="31" t="n">
        <v>-1450</v>
      </c>
      <c r="C65" s="30">
        <f>(C53-B53)*C48</f>
        <v/>
      </c>
      <c r="D65" s="30">
        <f>(D53-C53)*D48</f>
        <v/>
      </c>
      <c r="E65" s="30">
        <f>(E53-D53)*E48</f>
        <v/>
      </c>
      <c r="F65" s="30">
        <f>(F53-E53)*F48</f>
        <v/>
      </c>
      <c r="G65" s="30">
        <f>(G53-F53)*G48</f>
        <v/>
      </c>
      <c r="H65" s="30">
        <f>(H53-G53)*G48</f>
        <v/>
      </c>
    </row>
    <row r="66">
      <c r="A66" s="32" t="inlineStr">
        <is>
          <t>Unlevered Free Cash Flow (UFCF)</t>
        </is>
      </c>
      <c r="B66" s="33">
        <f>B62+B63-B64-B65</f>
        <v/>
      </c>
      <c r="C66" s="33">
        <f>C62+C63-C64-C65</f>
        <v/>
      </c>
      <c r="D66" s="33">
        <f>D62+D63-D64-D65</f>
        <v/>
      </c>
      <c r="E66" s="33">
        <f>E62+E63-E64-E65</f>
        <v/>
      </c>
      <c r="F66" s="33">
        <f>F62+F63-F64-F65</f>
        <v/>
      </c>
      <c r="G66" s="33">
        <f>G62+G63-G64-G65</f>
        <v/>
      </c>
      <c r="H66" s="33">
        <f>H62+H63-H64-H65</f>
        <v/>
      </c>
    </row>
    <row r="67">
      <c r="A67" s="8" t="inlineStr">
        <is>
          <t xml:space="preserve">  FCF Conversion Margin (% of Revenue)</t>
        </is>
      </c>
      <c r="B67" s="29">
        <f>B66/B53</f>
        <v/>
      </c>
      <c r="C67" s="29">
        <f>C66/C53</f>
        <v/>
      </c>
      <c r="D67" s="29">
        <f>D66/D53</f>
        <v/>
      </c>
      <c r="E67" s="29">
        <f>E66/E53</f>
        <v/>
      </c>
      <c r="F67" s="29">
        <f>F66/F53</f>
        <v/>
      </c>
      <c r="G67" s="29">
        <f>G66/G53</f>
        <v/>
      </c>
      <c r="H67" s="29">
        <f>H66/H53</f>
        <v/>
      </c>
    </row>
    <row r="69">
      <c r="A69" s="6" t="inlineStr">
        <is>
          <t>V. DISCOUNTING SCHEDULE &amp; VALUATION SUMMARY ($M)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16" t="inlineStr">
        <is>
          <t>DCF Component ($M)</t>
        </is>
      </c>
      <c r="B70" s="17" t="inlineStr">
        <is>
          <t>FY2026E</t>
        </is>
      </c>
      <c r="C70" s="17" t="inlineStr">
        <is>
          <t>FY2027E</t>
        </is>
      </c>
      <c r="D70" s="17" t="inlineStr">
        <is>
          <t>FY2028E</t>
        </is>
      </c>
      <c r="E70" s="17" t="inlineStr">
        <is>
          <t>FY2029E</t>
        </is>
      </c>
      <c r="F70" s="17" t="inlineStr">
        <is>
          <t>FY2030E</t>
        </is>
      </c>
      <c r="G70" s="17" t="inlineStr">
        <is>
          <t>Terminal Year</t>
        </is>
      </c>
      <c r="H70" s="16" t="inlineStr"/>
    </row>
    <row r="71">
      <c r="A71" s="11" t="inlineStr">
        <is>
          <t>Unlevered Free Cash Flow (UFCF)</t>
        </is>
      </c>
      <c r="B71" s="27">
        <f>C66</f>
        <v/>
      </c>
      <c r="C71" s="27">
        <f>D66</f>
        <v/>
      </c>
      <c r="D71" s="27">
        <f>E66</f>
        <v/>
      </c>
      <c r="E71" s="27">
        <f>F66</f>
        <v/>
      </c>
      <c r="F71" s="27">
        <f>G66</f>
        <v/>
      </c>
      <c r="G71" s="27">
        <f>F71*(1+$H$44)</f>
        <v/>
      </c>
      <c r="H71" s="34" t="inlineStr">
        <is>
          <t>-</t>
        </is>
      </c>
    </row>
    <row r="72">
      <c r="A72" s="8" t="inlineStr">
        <is>
          <t>Mid-Year Discount Period (t)</t>
        </is>
      </c>
      <c r="B72" s="35" t="n">
        <v>0.5</v>
      </c>
      <c r="C72" s="35" t="n">
        <v>1.5</v>
      </c>
      <c r="D72" s="35" t="n">
        <v>2.5</v>
      </c>
      <c r="E72" s="35" t="n">
        <v>3.5</v>
      </c>
      <c r="F72" s="35" t="n">
        <v>4.5</v>
      </c>
      <c r="G72" s="35" t="n">
        <v>4.5</v>
      </c>
      <c r="H72" s="36" t="inlineStr">
        <is>
          <t>-</t>
        </is>
      </c>
    </row>
    <row r="73">
      <c r="A73" s="8" t="inlineStr">
        <is>
          <t>Discount Factor (WACC Discounting)</t>
        </is>
      </c>
      <c r="B73" s="37">
        <f>1/(1+$H$45)^B72</f>
        <v/>
      </c>
      <c r="C73" s="37">
        <f>1/(1+$H$45)^C72</f>
        <v/>
      </c>
      <c r="D73" s="37">
        <f>1/(1+$H$45)^D72</f>
        <v/>
      </c>
      <c r="E73" s="37">
        <f>1/(1+$H$45)^E72</f>
        <v/>
      </c>
      <c r="F73" s="37">
        <f>1/(1+$H$45)^F72</f>
        <v/>
      </c>
      <c r="G73" s="37">
        <f>1/(1+$H$45)^G72</f>
        <v/>
      </c>
      <c r="H73" s="38" t="inlineStr">
        <is>
          <t>-</t>
        </is>
      </c>
    </row>
    <row r="74">
      <c r="A74" s="11" t="inlineStr">
        <is>
          <t>Present Value of Cash Flow (PV of UFCF)</t>
        </is>
      </c>
      <c r="B74" s="27">
        <f>B71*B73</f>
        <v/>
      </c>
      <c r="C74" s="27">
        <f>C71*C73</f>
        <v/>
      </c>
      <c r="D74" s="27">
        <f>D71*D73</f>
        <v/>
      </c>
      <c r="E74" s="27">
        <f>E71*E73</f>
        <v/>
      </c>
      <c r="F74" s="27">
        <f>F71*F73</f>
        <v/>
      </c>
      <c r="G74" s="34" t="inlineStr">
        <is>
          <t>-</t>
        </is>
      </c>
      <c r="H74" s="34" t="inlineStr">
        <is>
          <t>-</t>
        </is>
      </c>
    </row>
    <row r="75">
      <c r="A75" s="11" t="inlineStr">
        <is>
          <t>Nominal Terminal Value (Perpetuity Growth Method)</t>
        </is>
      </c>
      <c r="B75" s="39" t="inlineStr">
        <is>
          <t>-</t>
        </is>
      </c>
      <c r="C75" s="39" t="inlineStr">
        <is>
          <t>-</t>
        </is>
      </c>
      <c r="D75" s="39" t="inlineStr">
        <is>
          <t>-</t>
        </is>
      </c>
      <c r="E75" s="39" t="inlineStr">
        <is>
          <t>-</t>
        </is>
      </c>
      <c r="F75" s="39" t="inlineStr">
        <is>
          <t>-</t>
        </is>
      </c>
      <c r="G75" s="30">
        <f>G71/($H$45-$H$44)</f>
        <v/>
      </c>
      <c r="H75" s="39" t="inlineStr">
        <is>
          <t>-</t>
        </is>
      </c>
    </row>
    <row r="76">
      <c r="A76" s="11" t="inlineStr">
        <is>
          <t>Present Value of Terminal Value (PV of TV)</t>
        </is>
      </c>
      <c r="B76" s="34" t="inlineStr">
        <is>
          <t>-</t>
        </is>
      </c>
      <c r="C76" s="34" t="inlineStr">
        <is>
          <t>-</t>
        </is>
      </c>
      <c r="D76" s="34" t="inlineStr">
        <is>
          <t>-</t>
        </is>
      </c>
      <c r="E76" s="34" t="inlineStr">
        <is>
          <t>-</t>
        </is>
      </c>
      <c r="F76" s="34" t="inlineStr">
        <is>
          <t>-</t>
        </is>
      </c>
      <c r="G76" s="27">
        <f>G75*G73</f>
        <v/>
      </c>
      <c r="H76" s="34" t="inlineStr">
        <is>
          <t>-</t>
        </is>
      </c>
    </row>
    <row r="78">
      <c r="A78" s="18" t="inlineStr">
        <is>
          <t>VALUATION BRIDGE &amp; PER-SHARE IMPLICATION</t>
        </is>
      </c>
      <c r="B78" s="19" t="n"/>
      <c r="C78" s="19" t="n"/>
    </row>
    <row r="79">
      <c r="A79" s="8" t="inlineStr">
        <is>
          <t>Cumulative PV of Explicit 5-Year FCFs ($M)</t>
        </is>
      </c>
      <c r="B79" s="40">
        <f>SUM(B74:F74)</f>
        <v/>
      </c>
      <c r="D79" s="41" t="inlineStr">
        <is>
          <t>Terminal Value Metrics &amp; Checks:</t>
        </is>
      </c>
    </row>
    <row r="80">
      <c r="A80" s="8" t="inlineStr">
        <is>
          <t>Present Value of Terminal Value ($M)</t>
        </is>
      </c>
      <c r="B80" s="40">
        <f>G76</f>
        <v/>
      </c>
      <c r="D80" s="8" t="inlineStr">
        <is>
          <t>PV of TV % of Enterprise Value</t>
        </is>
      </c>
      <c r="E80" s="25">
        <f>B80/B81</f>
        <v/>
      </c>
    </row>
    <row r="81">
      <c r="A81" s="42" t="inlineStr">
        <is>
          <t>Enterprise Value ($M)</t>
        </is>
      </c>
      <c r="B81" s="43">
        <f>B79+B80</f>
        <v/>
      </c>
      <c r="D81" s="8" t="inlineStr">
        <is>
          <t>Implied Exit Multiple (EV / FY30E EBITDA)</t>
        </is>
      </c>
      <c r="E81" s="44">
        <f>B81/(G55+G63)</f>
        <v/>
      </c>
    </row>
    <row r="82">
      <c r="A82" s="8" t="inlineStr">
        <is>
          <t>(-) Total Debt ($M)</t>
        </is>
      </c>
      <c r="B82" s="40">
        <f>-B11</f>
        <v/>
      </c>
    </row>
    <row r="83">
      <c r="A83" s="8" t="inlineStr">
        <is>
          <t>(+) Cash, Cash Equivalents &amp; ST Investments ($M)</t>
        </is>
      </c>
      <c r="B83" s="40">
        <f>B10</f>
        <v/>
      </c>
    </row>
    <row r="84">
      <c r="A84" s="8" t="inlineStr">
        <is>
          <t>Net Debt Adjustment ($M)</t>
        </is>
      </c>
      <c r="B84" s="40">
        <f>B82+B83</f>
        <v/>
      </c>
    </row>
    <row r="85">
      <c r="A85" s="42" t="inlineStr">
        <is>
          <t>Implied Equity Value ($M)</t>
        </is>
      </c>
      <c r="B85" s="43">
        <f>B81+B84</f>
        <v/>
      </c>
    </row>
    <row r="86">
      <c r="A86" s="8" t="inlineStr">
        <is>
          <t>Diluted Shares Outstanding (M)</t>
        </is>
      </c>
      <c r="B86" s="45">
        <f>B8</f>
        <v/>
      </c>
    </row>
    <row r="87">
      <c r="A87" s="42" t="inlineStr">
        <is>
          <t>IMPLIED INTRINSIC VALUE PER SHARE ($)</t>
        </is>
      </c>
      <c r="B87" s="43">
        <f>B85/B86</f>
        <v/>
      </c>
    </row>
    <row r="88">
      <c r="A88" s="8" t="inlineStr">
        <is>
          <t>Current Market Stock Price ($)</t>
        </is>
      </c>
      <c r="B88" s="40">
        <f>B7</f>
        <v/>
      </c>
    </row>
    <row r="89">
      <c r="A89" s="42" t="inlineStr">
        <is>
          <t>Implied Upside / (Downside) (%)</t>
        </is>
      </c>
      <c r="B89" s="46">
        <f>B87/B88-1</f>
        <v/>
      </c>
    </row>
    <row r="92">
      <c r="A92" s="6" t="inlineStr">
        <is>
          <t>VI. INSTITUTIONAL SENSITIVITY MATRICES (5x5 GRIDS WITH FULL DCF RECALCULATION)</t>
        </is>
      </c>
      <c r="B92" s="7" t="n"/>
      <c r="C92" s="7" t="n"/>
      <c r="D92" s="7" t="n"/>
      <c r="E92" s="7" t="n"/>
      <c r="F92" s="7" t="n"/>
      <c r="G92" s="7" t="n"/>
      <c r="H92" s="7" t="n"/>
    </row>
    <row r="94">
      <c r="A94" s="18" t="inlineStr">
        <is>
          <t>TABLE 1: IMPLIED SHARE PRICE ($) - WACC vs. TERMINAL GROWTH RATE (g)</t>
        </is>
      </c>
      <c r="B94" s="19" t="n"/>
      <c r="C94" s="19" t="n"/>
      <c r="D94" s="19" t="n"/>
      <c r="E94" s="19" t="n"/>
      <c r="F94" s="19" t="n"/>
    </row>
    <row r="95">
      <c r="A95" s="17" t="inlineStr">
        <is>
          <t>WACC \ Terminal g</t>
        </is>
      </c>
      <c r="B95" s="47" t="n">
        <v>0.02</v>
      </c>
      <c r="C95" s="47" t="n">
        <v>0.025</v>
      </c>
      <c r="D95" s="48" t="n">
        <v>0.03</v>
      </c>
      <c r="E95" s="47" t="n">
        <v>0.035</v>
      </c>
      <c r="F95" s="47" t="n">
        <v>0.04</v>
      </c>
    </row>
    <row r="96">
      <c r="A96" s="49" t="n">
        <v>0.1296</v>
      </c>
      <c r="B96" s="40">
        <f>(($B$71/(1+$A96)^0.5 + $C$71/(1+$A96)^1.5 + $D$71/(1+$A96)^2.5 + $E$71/(1+$A96)^3.5 + $F$71/(1+$A96)^4.5) + (($F$71*(1+B$95)/($A96-B$95))/(1+$A96)^4.5) + $B$84)/$B$86</f>
        <v/>
      </c>
      <c r="C96" s="40">
        <f>(($B$71/(1+$A96)^0.5 + $C$71/(1+$A96)^1.5 + $D$71/(1+$A96)^2.5 + $E$71/(1+$A96)^3.5 + $F$71/(1+$A96)^4.5) + (($F$71*(1+C$95)/($A96-C$95))/(1+$A96)^4.5) + $B$84)/$B$86</f>
        <v/>
      </c>
      <c r="D96" s="40">
        <f>(($B$71/(1+$A96)^0.5 + $C$71/(1+$A96)^1.5 + $D$71/(1+$A96)^2.5 + $E$71/(1+$A96)^3.5 + $F$71/(1+$A96)^4.5) + (($F$71*(1+D$95)/($A96-D$95))/(1+$A96)^4.5) + $B$84)/$B$86</f>
        <v/>
      </c>
      <c r="E96" s="40">
        <f>(($B$71/(1+$A96)^0.5 + $C$71/(1+$A96)^1.5 + $D$71/(1+$A96)^2.5 + $E$71/(1+$A96)^3.5 + $F$71/(1+$A96)^4.5) + (($F$71*(1+E$95)/($A96-E$95))/(1+$A96)^4.5) + $B$84)/$B$86</f>
        <v/>
      </c>
      <c r="F96" s="40">
        <f>(($B$71/(1+$A96)^0.5 + $C$71/(1+$A96)^1.5 + $D$71/(1+$A96)^2.5 + $E$71/(1+$A96)^3.5 + $F$71/(1+$A96)^4.5) + (($F$71*(1+F$95)/($A96-F$95))/(1+$A96)^4.5) + $B$84)/$B$86</f>
        <v/>
      </c>
    </row>
    <row r="97">
      <c r="A97" s="49" t="n">
        <v>0.1396</v>
      </c>
      <c r="B97" s="40">
        <f>(($B$71/(1+$A97)^0.5 + $C$71/(1+$A97)^1.5 + $D$71/(1+$A97)^2.5 + $E$71/(1+$A97)^3.5 + $F$71/(1+$A97)^4.5) + (($F$71*(1+B$95)/($A97-B$95))/(1+$A97)^4.5) + $B$84)/$B$86</f>
        <v/>
      </c>
      <c r="C97" s="40">
        <f>(($B$71/(1+$A97)^0.5 + $C$71/(1+$A97)^1.5 + $D$71/(1+$A97)^2.5 + $E$71/(1+$A97)^3.5 + $F$71/(1+$A97)^4.5) + (($F$71*(1+C$95)/($A97-C$95))/(1+$A97)^4.5) + $B$84)/$B$86</f>
        <v/>
      </c>
      <c r="D97" s="40">
        <f>(($B$71/(1+$A97)^0.5 + $C$71/(1+$A97)^1.5 + $D$71/(1+$A97)^2.5 + $E$71/(1+$A97)^3.5 + $F$71/(1+$A97)^4.5) + (($F$71*(1+D$95)/($A97-D$95))/(1+$A97)^4.5) + $B$84)/$B$86</f>
        <v/>
      </c>
      <c r="E97" s="40">
        <f>(($B$71/(1+$A97)^0.5 + $C$71/(1+$A97)^1.5 + $D$71/(1+$A97)^2.5 + $E$71/(1+$A97)^3.5 + $F$71/(1+$A97)^4.5) + (($F$71*(1+E$95)/($A97-E$95))/(1+$A97)^4.5) + $B$84)/$B$86</f>
        <v/>
      </c>
      <c r="F97" s="40">
        <f>(($B$71/(1+$A97)^0.5 + $C$71/(1+$A97)^1.5 + $D$71/(1+$A97)^2.5 + $E$71/(1+$A97)^3.5 + $F$71/(1+$A97)^4.5) + (($F$71*(1+F$95)/($A97-F$95))/(1+$A97)^4.5) + $B$84)/$B$86</f>
        <v/>
      </c>
    </row>
    <row r="98">
      <c r="A98" s="50" t="n">
        <v>0.1496</v>
      </c>
      <c r="B98" s="40">
        <f>(($B$71/(1+$A98)^0.5 + $C$71/(1+$A98)^1.5 + $D$71/(1+$A98)^2.5 + $E$71/(1+$A98)^3.5 + $F$71/(1+$A98)^4.5) + (($F$71*(1+B$95)/($A98-B$95))/(1+$A98)^4.5) + $B$84)/$B$86</f>
        <v/>
      </c>
      <c r="C98" s="40">
        <f>(($B$71/(1+$A98)^0.5 + $C$71/(1+$A98)^1.5 + $D$71/(1+$A98)^2.5 + $E$71/(1+$A98)^3.5 + $F$71/(1+$A98)^4.5) + (($F$71*(1+C$95)/($A98-C$95))/(1+$A98)^4.5) + $B$84)/$B$86</f>
        <v/>
      </c>
      <c r="D98" s="51">
        <f>(($B$71/(1+$A98)^0.5 + $C$71/(1+$A98)^1.5 + $D$71/(1+$A98)^2.5 + $E$71/(1+$A98)^3.5 + $F$71/(1+$A98)^4.5) + (($F$71*(1+D$95)/($A98-D$95))/(1+$A98)^4.5) + $B$84)/$B$86</f>
        <v/>
      </c>
      <c r="E98" s="40">
        <f>(($B$71/(1+$A98)^0.5 + $C$71/(1+$A98)^1.5 + $D$71/(1+$A98)^2.5 + $E$71/(1+$A98)^3.5 + $F$71/(1+$A98)^4.5) + (($F$71*(1+E$95)/($A98-E$95))/(1+$A98)^4.5) + $B$84)/$B$86</f>
        <v/>
      </c>
      <c r="F98" s="40">
        <f>(($B$71/(1+$A98)^0.5 + $C$71/(1+$A98)^1.5 + $D$71/(1+$A98)^2.5 + $E$71/(1+$A98)^3.5 + $F$71/(1+$A98)^4.5) + (($F$71*(1+F$95)/($A98-F$95))/(1+$A98)^4.5) + $B$84)/$B$86</f>
        <v/>
      </c>
    </row>
    <row r="99">
      <c r="A99" s="49" t="n">
        <v>0.1596</v>
      </c>
      <c r="B99" s="40">
        <f>(($B$71/(1+$A99)^0.5 + $C$71/(1+$A99)^1.5 + $D$71/(1+$A99)^2.5 + $E$71/(1+$A99)^3.5 + $F$71/(1+$A99)^4.5) + (($F$71*(1+B$95)/($A99-B$95))/(1+$A99)^4.5) + $B$84)/$B$86</f>
        <v/>
      </c>
      <c r="C99" s="40">
        <f>(($B$71/(1+$A99)^0.5 + $C$71/(1+$A99)^1.5 + $D$71/(1+$A99)^2.5 + $E$71/(1+$A99)^3.5 + $F$71/(1+$A99)^4.5) + (($F$71*(1+C$95)/($A99-C$95))/(1+$A99)^4.5) + $B$84)/$B$86</f>
        <v/>
      </c>
      <c r="D99" s="40">
        <f>(($B$71/(1+$A99)^0.5 + $C$71/(1+$A99)^1.5 + $D$71/(1+$A99)^2.5 + $E$71/(1+$A99)^3.5 + $F$71/(1+$A99)^4.5) + (($F$71*(1+D$95)/($A99-D$95))/(1+$A99)^4.5) + $B$84)/$B$86</f>
        <v/>
      </c>
      <c r="E99" s="40">
        <f>(($B$71/(1+$A99)^0.5 + $C$71/(1+$A99)^1.5 + $D$71/(1+$A99)^2.5 + $E$71/(1+$A99)^3.5 + $F$71/(1+$A99)^4.5) + (($F$71*(1+E$95)/($A99-E$95))/(1+$A99)^4.5) + $B$84)/$B$86</f>
        <v/>
      </c>
      <c r="F99" s="40">
        <f>(($B$71/(1+$A99)^0.5 + $C$71/(1+$A99)^1.5 + $D$71/(1+$A99)^2.5 + $E$71/(1+$A99)^3.5 + $F$71/(1+$A99)^4.5) + (($F$71*(1+F$95)/($A99-F$95))/(1+$A99)^4.5) + $B$84)/$B$86</f>
        <v/>
      </c>
    </row>
    <row r="100">
      <c r="A100" s="49" t="n">
        <v>0.1696</v>
      </c>
      <c r="B100" s="40">
        <f>(($B$71/(1+$A100)^0.5 + $C$71/(1+$A100)^1.5 + $D$71/(1+$A100)^2.5 + $E$71/(1+$A100)^3.5 + $F$71/(1+$A100)^4.5) + (($F$71*(1+B$95)/($A100-B$95))/(1+$A100)^4.5) + $B$84)/$B$86</f>
        <v/>
      </c>
      <c r="C100" s="40">
        <f>(($B$71/(1+$A100)^0.5 + $C$71/(1+$A100)^1.5 + $D$71/(1+$A100)^2.5 + $E$71/(1+$A100)^3.5 + $F$71/(1+$A100)^4.5) + (($F$71*(1+C$95)/($A100-C$95))/(1+$A100)^4.5) + $B$84)/$B$86</f>
        <v/>
      </c>
      <c r="D100" s="40">
        <f>(($B$71/(1+$A100)^0.5 + $C$71/(1+$A100)^1.5 + $D$71/(1+$A100)^2.5 + $E$71/(1+$A100)^3.5 + $F$71/(1+$A100)^4.5) + (($F$71*(1+D$95)/($A100-D$95))/(1+$A100)^4.5) + $B$84)/$B$86</f>
        <v/>
      </c>
      <c r="E100" s="40">
        <f>(($B$71/(1+$A100)^0.5 + $C$71/(1+$A100)^1.5 + $D$71/(1+$A100)^2.5 + $E$71/(1+$A100)^3.5 + $F$71/(1+$A100)^4.5) + (($F$71*(1+E$95)/($A100-E$95))/(1+$A100)^4.5) + $B$84)/$B$86</f>
        <v/>
      </c>
      <c r="F100" s="40">
        <f>(($B$71/(1+$A100)^0.5 + $C$71/(1+$A100)^1.5 + $D$71/(1+$A100)^2.5 + $E$71/(1+$A100)^3.5 + $F$71/(1+$A100)^4.5) + (($F$71*(1+F$95)/($A100-F$95))/(1+$A100)^4.5) + $B$84)/$B$86</f>
        <v/>
      </c>
    </row>
    <row r="104">
      <c r="A104" s="18" t="inlineStr">
        <is>
          <t>TABLE 2: IMPLIED SHARE PRICE ($) - REVENUE GROWTH MULTIPLIER vs. FY30E EBIT MARGIN</t>
        </is>
      </c>
      <c r="B104" s="19" t="n"/>
      <c r="C104" s="19" t="n"/>
      <c r="D104" s="19" t="n"/>
      <c r="E104" s="19" t="n"/>
      <c r="F104" s="19" t="n"/>
    </row>
    <row r="105">
      <c r="A105" s="17" t="inlineStr">
        <is>
          <t>Growth Index \ EBIT Margin</t>
        </is>
      </c>
      <c r="B105" s="47" t="n">
        <v>0.098</v>
      </c>
      <c r="C105" s="47" t="n">
        <v>0.118</v>
      </c>
      <c r="D105" s="48" t="n">
        <v>0.138</v>
      </c>
      <c r="E105" s="47" t="n">
        <v>0.158</v>
      </c>
      <c r="F105" s="47" t="n">
        <v>0.178</v>
      </c>
    </row>
    <row r="106">
      <c r="A106" s="52" t="n">
        <v>0.8</v>
      </c>
      <c r="B106" s="40">
        <f>((($B$71*$A106*(B$105/$G$45)/(1+$H$45)^0.5 + $C$71*$A106*(B$105/$G$45)/(1+$H$45)^1.5 + $D$71*$A106*(B$105/$G$45)/(1+$H$45)^2.5 + $E$71*$A106*(B$105/$G$45)/(1+$H$45)^3.5 + $F$71*$A106*(B$105/$G$45)/(1+$H$45)^4.5) + (($F$71*$A106*(B$105/$G$45)*(1+$H$44)/($H$45-$H$44))/(1+$H$45)^4.5) + $B$84)/$B$86)</f>
        <v/>
      </c>
      <c r="C106" s="40">
        <f>((($B$71*$A106*(C$105/$G$45)/(1+$H$45)^0.5 + $C$71*$A106*(C$105/$G$45)/(1+$H$45)^1.5 + $D$71*$A106*(C$105/$G$45)/(1+$H$45)^2.5 + $E$71*$A106*(C$105/$G$45)/(1+$H$45)^3.5 + $F$71*$A106*(C$105/$G$45)/(1+$H$45)^4.5) + (($F$71*$A106*(C$105/$G$45)*(1+$H$44)/($H$45-$H$44))/(1+$H$45)^4.5) + $B$84)/$B$86)</f>
        <v/>
      </c>
      <c r="D106" s="40">
        <f>((($B$71*$A106*(D$105/$G$45)/(1+$H$45)^0.5 + $C$71*$A106*(D$105/$G$45)/(1+$H$45)^1.5 + $D$71*$A106*(D$105/$G$45)/(1+$H$45)^2.5 + $E$71*$A106*(D$105/$G$45)/(1+$H$45)^3.5 + $F$71*$A106*(D$105/$G$45)/(1+$H$45)^4.5) + (($F$71*$A106*(D$105/$G$45)*(1+$H$44)/($H$45-$H$44))/(1+$H$45)^4.5) + $B$84)/$B$86)</f>
        <v/>
      </c>
      <c r="E106" s="40">
        <f>((($B$71*$A106*(E$105/$G$45)/(1+$H$45)^0.5 + $C$71*$A106*(E$105/$G$45)/(1+$H$45)^1.5 + $D$71*$A106*(E$105/$G$45)/(1+$H$45)^2.5 + $E$71*$A106*(E$105/$G$45)/(1+$H$45)^3.5 + $F$71*$A106*(E$105/$G$45)/(1+$H$45)^4.5) + (($F$71*$A106*(E$105/$G$45)*(1+$H$44)/($H$45-$H$44))/(1+$H$45)^4.5) + $B$84)/$B$86)</f>
        <v/>
      </c>
      <c r="F106" s="40">
        <f>((($B$71*$A106*(F$105/$G$45)/(1+$H$45)^0.5 + $C$71*$A106*(F$105/$G$45)/(1+$H$45)^1.5 + $D$71*$A106*(F$105/$G$45)/(1+$H$45)^2.5 + $E$71*$A106*(F$105/$G$45)/(1+$H$45)^3.5 + $F$71*$A106*(F$105/$G$45)/(1+$H$45)^4.5) + (($F$71*$A106*(F$105/$G$45)*(1+$H$44)/($H$45-$H$44))/(1+$H$45)^4.5) + $B$84)/$B$86)</f>
        <v/>
      </c>
    </row>
    <row r="107">
      <c r="A107" s="52" t="n">
        <v>0.9</v>
      </c>
      <c r="B107" s="40">
        <f>((($B$71*$A107*(B$105/$G$45)/(1+$H$45)^0.5 + $C$71*$A107*(B$105/$G$45)/(1+$H$45)^1.5 + $D$71*$A107*(B$105/$G$45)/(1+$H$45)^2.5 + $E$71*$A107*(B$105/$G$45)/(1+$H$45)^3.5 + $F$71*$A107*(B$105/$G$45)/(1+$H$45)^4.5) + (($F$71*$A107*(B$105/$G$45)*(1+$H$44)/($H$45-$H$44))/(1+$H$45)^4.5) + $B$84)/$B$86)</f>
        <v/>
      </c>
      <c r="C107" s="40">
        <f>((($B$71*$A107*(C$105/$G$45)/(1+$H$45)^0.5 + $C$71*$A107*(C$105/$G$45)/(1+$H$45)^1.5 + $D$71*$A107*(C$105/$G$45)/(1+$H$45)^2.5 + $E$71*$A107*(C$105/$G$45)/(1+$H$45)^3.5 + $F$71*$A107*(C$105/$G$45)/(1+$H$45)^4.5) + (($F$71*$A107*(C$105/$G$45)*(1+$H$44)/($H$45-$H$44))/(1+$H$45)^4.5) + $B$84)/$B$86)</f>
        <v/>
      </c>
      <c r="D107" s="40">
        <f>((($B$71*$A107*(D$105/$G$45)/(1+$H$45)^0.5 + $C$71*$A107*(D$105/$G$45)/(1+$H$45)^1.5 + $D$71*$A107*(D$105/$G$45)/(1+$H$45)^2.5 + $E$71*$A107*(D$105/$G$45)/(1+$H$45)^3.5 + $F$71*$A107*(D$105/$G$45)/(1+$H$45)^4.5) + (($F$71*$A107*(D$105/$G$45)*(1+$H$44)/($H$45-$H$44))/(1+$H$45)^4.5) + $B$84)/$B$86)</f>
        <v/>
      </c>
      <c r="E107" s="40">
        <f>((($B$71*$A107*(E$105/$G$45)/(1+$H$45)^0.5 + $C$71*$A107*(E$105/$G$45)/(1+$H$45)^1.5 + $D$71*$A107*(E$105/$G$45)/(1+$H$45)^2.5 + $E$71*$A107*(E$105/$G$45)/(1+$H$45)^3.5 + $F$71*$A107*(E$105/$G$45)/(1+$H$45)^4.5) + (($F$71*$A107*(E$105/$G$45)*(1+$H$44)/($H$45-$H$44))/(1+$H$45)^4.5) + $B$84)/$B$86)</f>
        <v/>
      </c>
      <c r="F107" s="40">
        <f>((($B$71*$A107*(F$105/$G$45)/(1+$H$45)^0.5 + $C$71*$A107*(F$105/$G$45)/(1+$H$45)^1.5 + $D$71*$A107*(F$105/$G$45)/(1+$H$45)^2.5 + $E$71*$A107*(F$105/$G$45)/(1+$H$45)^3.5 + $F$71*$A107*(F$105/$G$45)/(1+$H$45)^4.5) + (($F$71*$A107*(F$105/$G$45)*(1+$H$44)/($H$45-$H$44))/(1+$H$45)^4.5) + $B$84)/$B$86)</f>
        <v/>
      </c>
    </row>
    <row r="108">
      <c r="A108" s="53" t="n">
        <v>1</v>
      </c>
      <c r="B108" s="40">
        <f>((($B$71*$A108*(B$105/$G$45)/(1+$H$45)^0.5 + $C$71*$A108*(B$105/$G$45)/(1+$H$45)^1.5 + $D$71*$A108*(B$105/$G$45)/(1+$H$45)^2.5 + $E$71*$A108*(B$105/$G$45)/(1+$H$45)^3.5 + $F$71*$A108*(B$105/$G$45)/(1+$H$45)^4.5) + (($F$71*$A108*(B$105/$G$45)*(1+$H$44)/($H$45-$H$44))/(1+$H$45)^4.5) + $B$84)/$B$86)</f>
        <v/>
      </c>
      <c r="C108" s="40">
        <f>((($B$71*$A108*(C$105/$G$45)/(1+$H$45)^0.5 + $C$71*$A108*(C$105/$G$45)/(1+$H$45)^1.5 + $D$71*$A108*(C$105/$G$45)/(1+$H$45)^2.5 + $E$71*$A108*(C$105/$G$45)/(1+$H$45)^3.5 + $F$71*$A108*(C$105/$G$45)/(1+$H$45)^4.5) + (($F$71*$A108*(C$105/$G$45)*(1+$H$44)/($H$45-$H$44))/(1+$H$45)^4.5) + $B$84)/$B$86)</f>
        <v/>
      </c>
      <c r="D108" s="51">
        <f>((($B$71*$A108*(D$105/$G$45)/(1+$H$45)^0.5 + $C$71*$A108*(D$105/$G$45)/(1+$H$45)^1.5 + $D$71*$A108*(D$105/$G$45)/(1+$H$45)^2.5 + $E$71*$A108*(D$105/$G$45)/(1+$H$45)^3.5 + $F$71*$A108*(D$105/$G$45)/(1+$H$45)^4.5) + (($F$71*$A108*(D$105/$G$45)*(1+$H$44)/($H$45-$H$44))/(1+$H$45)^4.5) + $B$84)/$B$86)</f>
        <v/>
      </c>
      <c r="E108" s="40">
        <f>((($B$71*$A108*(E$105/$G$45)/(1+$H$45)^0.5 + $C$71*$A108*(E$105/$G$45)/(1+$H$45)^1.5 + $D$71*$A108*(E$105/$G$45)/(1+$H$45)^2.5 + $E$71*$A108*(E$105/$G$45)/(1+$H$45)^3.5 + $F$71*$A108*(E$105/$G$45)/(1+$H$45)^4.5) + (($F$71*$A108*(E$105/$G$45)*(1+$H$44)/($H$45-$H$44))/(1+$H$45)^4.5) + $B$84)/$B$86)</f>
        <v/>
      </c>
      <c r="F108" s="40">
        <f>((($B$71*$A108*(F$105/$G$45)/(1+$H$45)^0.5 + $C$71*$A108*(F$105/$G$45)/(1+$H$45)^1.5 + $D$71*$A108*(F$105/$G$45)/(1+$H$45)^2.5 + $E$71*$A108*(F$105/$G$45)/(1+$H$45)^3.5 + $F$71*$A108*(F$105/$G$45)/(1+$H$45)^4.5) + (($F$71*$A108*(F$105/$G$45)*(1+$H$44)/($H$45-$H$44))/(1+$H$45)^4.5) + $B$84)/$B$86)</f>
        <v/>
      </c>
    </row>
    <row r="109">
      <c r="A109" s="52" t="n">
        <v>1.1</v>
      </c>
      <c r="B109" s="40">
        <f>((($B$71*$A109*(B$105/$G$45)/(1+$H$45)^0.5 + $C$71*$A109*(B$105/$G$45)/(1+$H$45)^1.5 + $D$71*$A109*(B$105/$G$45)/(1+$H$45)^2.5 + $E$71*$A109*(B$105/$G$45)/(1+$H$45)^3.5 + $F$71*$A109*(B$105/$G$45)/(1+$H$45)^4.5) + (($F$71*$A109*(B$105/$G$45)*(1+$H$44)/($H$45-$H$44))/(1+$H$45)^4.5) + $B$84)/$B$86)</f>
        <v/>
      </c>
      <c r="C109" s="40">
        <f>((($B$71*$A109*(C$105/$G$45)/(1+$H$45)^0.5 + $C$71*$A109*(C$105/$G$45)/(1+$H$45)^1.5 + $D$71*$A109*(C$105/$G$45)/(1+$H$45)^2.5 + $E$71*$A109*(C$105/$G$45)/(1+$H$45)^3.5 + $F$71*$A109*(C$105/$G$45)/(1+$H$45)^4.5) + (($F$71*$A109*(C$105/$G$45)*(1+$H$44)/($H$45-$H$44))/(1+$H$45)^4.5) + $B$84)/$B$86)</f>
        <v/>
      </c>
      <c r="D109" s="40">
        <f>((($B$71*$A109*(D$105/$G$45)/(1+$H$45)^0.5 + $C$71*$A109*(D$105/$G$45)/(1+$H$45)^1.5 + $D$71*$A109*(D$105/$G$45)/(1+$H$45)^2.5 + $E$71*$A109*(D$105/$G$45)/(1+$H$45)^3.5 + $F$71*$A109*(D$105/$G$45)/(1+$H$45)^4.5) + (($F$71*$A109*(D$105/$G$45)*(1+$H$44)/($H$45-$H$44))/(1+$H$45)^4.5) + $B$84)/$B$86)</f>
        <v/>
      </c>
      <c r="E109" s="40">
        <f>((($B$71*$A109*(E$105/$G$45)/(1+$H$45)^0.5 + $C$71*$A109*(E$105/$G$45)/(1+$H$45)^1.5 + $D$71*$A109*(E$105/$G$45)/(1+$H$45)^2.5 + $E$71*$A109*(E$105/$G$45)/(1+$H$45)^3.5 + $F$71*$A109*(E$105/$G$45)/(1+$H$45)^4.5) + (($F$71*$A109*(E$105/$G$45)*(1+$H$44)/($H$45-$H$44))/(1+$H$45)^4.5) + $B$84)/$B$86)</f>
        <v/>
      </c>
      <c r="F109" s="40">
        <f>((($B$71*$A109*(F$105/$G$45)/(1+$H$45)^0.5 + $C$71*$A109*(F$105/$G$45)/(1+$H$45)^1.5 + $D$71*$A109*(F$105/$G$45)/(1+$H$45)^2.5 + $E$71*$A109*(F$105/$G$45)/(1+$H$45)^3.5 + $F$71*$A109*(F$105/$G$45)/(1+$H$45)^4.5) + (($F$71*$A109*(F$105/$G$45)*(1+$H$44)/($H$45-$H$44))/(1+$H$45)^4.5) + $B$84)/$B$86)</f>
        <v/>
      </c>
    </row>
    <row r="110">
      <c r="A110" s="52" t="n">
        <v>1.2</v>
      </c>
      <c r="B110" s="40">
        <f>((($B$71*$A110*(B$105/$G$45)/(1+$H$45)^0.5 + $C$71*$A110*(B$105/$G$45)/(1+$H$45)^1.5 + $D$71*$A110*(B$105/$G$45)/(1+$H$45)^2.5 + $E$71*$A110*(B$105/$G$45)/(1+$H$45)^3.5 + $F$71*$A110*(B$105/$G$45)/(1+$H$45)^4.5) + (($F$71*$A110*(B$105/$G$45)*(1+$H$44)/($H$45-$H$44))/(1+$H$45)^4.5) + $B$84)/$B$86)</f>
        <v/>
      </c>
      <c r="C110" s="40">
        <f>((($B$71*$A110*(C$105/$G$45)/(1+$H$45)^0.5 + $C$71*$A110*(C$105/$G$45)/(1+$H$45)^1.5 + $D$71*$A110*(C$105/$G$45)/(1+$H$45)^2.5 + $E$71*$A110*(C$105/$G$45)/(1+$H$45)^3.5 + $F$71*$A110*(C$105/$G$45)/(1+$H$45)^4.5) + (($F$71*$A110*(C$105/$G$45)*(1+$H$44)/($H$45-$H$44))/(1+$H$45)^4.5) + $B$84)/$B$86)</f>
        <v/>
      </c>
      <c r="D110" s="40">
        <f>((($B$71*$A110*(D$105/$G$45)/(1+$H$45)^0.5 + $C$71*$A110*(D$105/$G$45)/(1+$H$45)^1.5 + $D$71*$A110*(D$105/$G$45)/(1+$H$45)^2.5 + $E$71*$A110*(D$105/$G$45)/(1+$H$45)^3.5 + $F$71*$A110*(D$105/$G$45)/(1+$H$45)^4.5) + (($F$71*$A110*(D$105/$G$45)*(1+$H$44)/($H$45-$H$44))/(1+$H$45)^4.5) + $B$84)/$B$86)</f>
        <v/>
      </c>
      <c r="E110" s="40">
        <f>((($B$71*$A110*(E$105/$G$45)/(1+$H$45)^0.5 + $C$71*$A110*(E$105/$G$45)/(1+$H$45)^1.5 + $D$71*$A110*(E$105/$G$45)/(1+$H$45)^2.5 + $E$71*$A110*(E$105/$G$45)/(1+$H$45)^3.5 + $F$71*$A110*(E$105/$G$45)/(1+$H$45)^4.5) + (($F$71*$A110*(E$105/$G$45)*(1+$H$44)/($H$45-$H$44))/(1+$H$45)^4.5) + $B$84)/$B$86)</f>
        <v/>
      </c>
      <c r="F110" s="40">
        <f>((($B$71*$A110*(F$105/$G$45)/(1+$H$45)^0.5 + $C$71*$A110*(F$105/$G$45)/(1+$H$45)^1.5 + $D$71*$A110*(F$105/$G$45)/(1+$H$45)^2.5 + $E$71*$A110*(F$105/$G$45)/(1+$H$45)^3.5 + $F$71*$A110*(F$105/$G$45)/(1+$H$45)^4.5) + (($F$71*$A110*(F$105/$G$45)*(1+$H$44)/($H$45-$H$44))/(1+$H$45)^4.5) + $B$84)/$B$86)</f>
        <v/>
      </c>
    </row>
    <row r="114">
      <c r="A114" s="18" t="inlineStr">
        <is>
          <t>TABLE 3: IMPLIED ESTIMATE ($) - EQUITY BETA vs. RISK-FREE RATE (Rf)</t>
        </is>
      </c>
      <c r="B114" s="19" t="n"/>
      <c r="C114" s="19" t="n"/>
      <c r="D114" s="19" t="n"/>
      <c r="E114" s="19" t="n"/>
      <c r="F114" s="19" t="n"/>
    </row>
    <row r="115">
      <c r="A115" s="17" t="inlineStr">
        <is>
          <t>Beta \ Risk-Free Rate</t>
        </is>
      </c>
      <c r="B115" s="54" t="n">
        <v>0.0365</v>
      </c>
      <c r="C115" s="54" t="n">
        <v>0.0415</v>
      </c>
      <c r="D115" s="55" t="n">
        <v>0.0465</v>
      </c>
      <c r="E115" s="54" t="n">
        <v>0.0515</v>
      </c>
      <c r="F115" s="54" t="n">
        <v>0.0565</v>
      </c>
    </row>
    <row r="116">
      <c r="A116" s="56" t="n">
        <v>1.42</v>
      </c>
      <c r="B116" s="40">
        <f>((($B$71/(1+((B$115+$A116*$B$17)*('WACC Build'!$C$24) + ('WACC Build'!$B$13)*('WACC Build'!$C$25)))^0.5 + $C$71/(1+((B$115+$A116*$B$17)*('WACC Build'!$C$24) + ('WACC Build'!$B$13)*('WACC Build'!$C$25)))^1.5 + $D$71/(1+((B$115+$A116*$B$17)*('WACC Build'!$C$24) + ('WACC Build'!$B$13)*('WACC Build'!$C$25)))^2.5 + $E$71/(1+((B$115+$A116*$B$17)*('WACC Build'!$C$24) + ('WACC Build'!$B$13)*('WACC Build'!$C$25)))^3.5 + $F$71/(1+((B$115+$A116*$B$17)*('WACC Build'!$C$24) + ('WACC Build'!$B$13)*('WACC Build'!$C$25)))^4.5) + (($F$71*(1+$H$44)/(((B$115+$A116*$B$17)*('WACC Build'!$C$24) + ('WACC Build'!$B$13)*('WACC Build'!$C$25))-$H$44))/(1+((B$115+$A116*$B$17)*('WACC Build'!$C$24) + ('WACC Build'!$B$13)*('WACC Build'!$C$25)))^4.5) + $B$84)/$B$86)</f>
        <v/>
      </c>
      <c r="C116" s="40">
        <f>((($B$71/(1+((C$115+$A116*$B$17)*('WACC Build'!$C$24) + ('WACC Build'!$B$13)*('WACC Build'!$C$25)))^0.5 + $C$71/(1+((C$115+$A116*$B$17)*('WACC Build'!$C$24) + ('WACC Build'!$B$13)*('WACC Build'!$C$25)))^1.5 + $D$71/(1+((C$115+$A116*$B$17)*('WACC Build'!$C$24) + ('WACC Build'!$B$13)*('WACC Build'!$C$25)))^2.5 + $E$71/(1+((C$115+$A116*$B$17)*('WACC Build'!$C$24) + ('WACC Build'!$B$13)*('WACC Build'!$C$25)))^3.5 + $F$71/(1+((C$115+$A116*$B$17)*('WACC Build'!$C$24) + ('WACC Build'!$B$13)*('WACC Build'!$C$25)))^4.5) + (($F$71*(1+$H$44)/(((C$115+$A116*$B$17)*('WACC Build'!$C$24) + ('WACC Build'!$B$13)*('WACC Build'!$C$25))-$H$44))/(1+((C$115+$A116*$B$17)*('WACC Build'!$C$24) + ('WACC Build'!$B$13)*('WACC Build'!$C$25)))^4.5) + $B$84)/$B$86)</f>
        <v/>
      </c>
      <c r="D116" s="40">
        <f>((($B$71/(1+((D$115+$A116*$B$17)*('WACC Build'!$C$24) + ('WACC Build'!$B$13)*('WACC Build'!$C$25)))^0.5 + $C$71/(1+((D$115+$A116*$B$17)*('WACC Build'!$C$24) + ('WACC Build'!$B$13)*('WACC Build'!$C$25)))^1.5 + $D$71/(1+((D$115+$A116*$B$17)*('WACC Build'!$C$24) + ('WACC Build'!$B$13)*('WACC Build'!$C$25)))^2.5 + $E$71/(1+((D$115+$A116*$B$17)*('WACC Build'!$C$24) + ('WACC Build'!$B$13)*('WACC Build'!$C$25)))^3.5 + $F$71/(1+((D$115+$A116*$B$17)*('WACC Build'!$C$24) + ('WACC Build'!$B$13)*('WACC Build'!$C$25)))^4.5) + (($F$71*(1+$H$44)/(((D$115+$A116*$B$17)*('WACC Build'!$C$24) + ('WACC Build'!$B$13)*('WACC Build'!$C$25))-$H$44))/(1+((D$115+$A116*$B$17)*('WACC Build'!$C$24) + ('WACC Build'!$B$13)*('WACC Build'!$C$25)))^4.5) + $B$84)/$B$86)</f>
        <v/>
      </c>
      <c r="E116" s="40">
        <f>((($B$71/(1+((E$115+$A116*$B$17)*('WACC Build'!$C$24) + ('WACC Build'!$B$13)*('WACC Build'!$C$25)))^0.5 + $C$71/(1+((E$115+$A116*$B$17)*('WACC Build'!$C$24) + ('WACC Build'!$B$13)*('WACC Build'!$C$25)))^1.5 + $D$71/(1+((E$115+$A116*$B$17)*('WACC Build'!$C$24) + ('WACC Build'!$B$13)*('WACC Build'!$C$25)))^2.5 + $E$71/(1+((E$115+$A116*$B$17)*('WACC Build'!$C$24) + ('WACC Build'!$B$13)*('WACC Build'!$C$25)))^3.5 + $F$71/(1+((E$115+$A116*$B$17)*('WACC Build'!$C$24) + ('WACC Build'!$B$13)*('WACC Build'!$C$25)))^4.5) + (($F$71*(1+$H$44)/(((E$115+$A116*$B$17)*('WACC Build'!$C$24) + ('WACC Build'!$B$13)*('WACC Build'!$C$25))-$H$44))/(1+((E$115+$A116*$B$17)*('WACC Build'!$C$24) + ('WACC Build'!$B$13)*('WACC Build'!$C$25)))^4.5) + $B$84)/$B$86)</f>
        <v/>
      </c>
      <c r="F116" s="40">
        <f>((($B$71/(1+((F$115+$A116*$B$17)*('WACC Build'!$C$24) + ('WACC Build'!$B$13)*('WACC Build'!$C$25)))^0.5 + $C$71/(1+((F$115+$A116*$B$17)*('WACC Build'!$C$24) + ('WACC Build'!$B$13)*('WACC Build'!$C$25)))^1.5 + $D$71/(1+((F$115+$A116*$B$17)*('WACC Build'!$C$24) + ('WACC Build'!$B$13)*('WACC Build'!$C$25)))^2.5 + $E$71/(1+((F$115+$A116*$B$17)*('WACC Build'!$C$24) + ('WACC Build'!$B$13)*('WACC Build'!$C$25)))^3.5 + $F$71/(1+((F$115+$A116*$B$17)*('WACC Build'!$C$24) + ('WACC Build'!$B$13)*('WACC Build'!$C$25)))^4.5) + (($F$71*(1+$H$44)/(((F$115+$A116*$B$17)*('WACC Build'!$C$24) + ('WACC Build'!$B$13)*('WACC Build'!$C$25))-$H$44))/(1+((F$115+$A116*$B$17)*('WACC Build'!$C$24) + ('WACC Build'!$B$13)*('WACC Build'!$C$25)))^4.5) + $B$84)/$B$86)</f>
        <v/>
      </c>
    </row>
    <row r="117">
      <c r="A117" s="56" t="n">
        <v>1.62</v>
      </c>
      <c r="B117" s="40">
        <f>((($B$71/(1+((B$115+$A117*$B$17)*('WACC Build'!$C$24) + ('WACC Build'!$B$13)*('WACC Build'!$C$25)))^0.5 + $C$71/(1+((B$115+$A117*$B$17)*('WACC Build'!$C$24) + ('WACC Build'!$B$13)*('WACC Build'!$C$25)))^1.5 + $D$71/(1+((B$115+$A117*$B$17)*('WACC Build'!$C$24) + ('WACC Build'!$B$13)*('WACC Build'!$C$25)))^2.5 + $E$71/(1+((B$115+$A117*$B$17)*('WACC Build'!$C$24) + ('WACC Build'!$B$13)*('WACC Build'!$C$25)))^3.5 + $F$71/(1+((B$115+$A117*$B$17)*('WACC Build'!$C$24) + ('WACC Build'!$B$13)*('WACC Build'!$C$25)))^4.5) + (($F$71*(1+$H$44)/(((B$115+$A117*$B$17)*('WACC Build'!$C$24) + ('WACC Build'!$B$13)*('WACC Build'!$C$25))-$H$44))/(1+((B$115+$A117*$B$17)*('WACC Build'!$C$24) + ('WACC Build'!$B$13)*('WACC Build'!$C$25)))^4.5) + $B$84)/$B$86)</f>
        <v/>
      </c>
      <c r="C117" s="40">
        <f>((($B$71/(1+((C$115+$A117*$B$17)*('WACC Build'!$C$24) + ('WACC Build'!$B$13)*('WACC Build'!$C$25)))^0.5 + $C$71/(1+((C$115+$A117*$B$17)*('WACC Build'!$C$24) + ('WACC Build'!$B$13)*('WACC Build'!$C$25)))^1.5 + $D$71/(1+((C$115+$A117*$B$17)*('WACC Build'!$C$24) + ('WACC Build'!$B$13)*('WACC Build'!$C$25)))^2.5 + $E$71/(1+((C$115+$A117*$B$17)*('WACC Build'!$C$24) + ('WACC Build'!$B$13)*('WACC Build'!$C$25)))^3.5 + $F$71/(1+((C$115+$A117*$B$17)*('WACC Build'!$C$24) + ('WACC Build'!$B$13)*('WACC Build'!$C$25)))^4.5) + (($F$71*(1+$H$44)/(((C$115+$A117*$B$17)*('WACC Build'!$C$24) + ('WACC Build'!$B$13)*('WACC Build'!$C$25))-$H$44))/(1+((C$115+$A117*$B$17)*('WACC Build'!$C$24) + ('WACC Build'!$B$13)*('WACC Build'!$C$25)))^4.5) + $B$84)/$B$86)</f>
        <v/>
      </c>
      <c r="D117" s="40">
        <f>((($B$71/(1+((D$115+$A117*$B$17)*('WACC Build'!$C$24) + ('WACC Build'!$B$13)*('WACC Build'!$C$25)))^0.5 + $C$71/(1+((D$115+$A117*$B$17)*('WACC Build'!$C$24) + ('WACC Build'!$B$13)*('WACC Build'!$C$25)))^1.5 + $D$71/(1+((D$115+$A117*$B$17)*('WACC Build'!$C$24) + ('WACC Build'!$B$13)*('WACC Build'!$C$25)))^2.5 + $E$71/(1+((D$115+$A117*$B$17)*('WACC Build'!$C$24) + ('WACC Build'!$B$13)*('WACC Build'!$C$25)))^3.5 + $F$71/(1+((D$115+$A117*$B$17)*('WACC Build'!$C$24) + ('WACC Build'!$B$13)*('WACC Build'!$C$25)))^4.5) + (($F$71*(1+$H$44)/(((D$115+$A117*$B$17)*('WACC Build'!$C$24) + ('WACC Build'!$B$13)*('WACC Build'!$C$25))-$H$44))/(1+((D$115+$A117*$B$17)*('WACC Build'!$C$24) + ('WACC Build'!$B$13)*('WACC Build'!$C$25)))^4.5) + $B$84)/$B$86)</f>
        <v/>
      </c>
      <c r="E117" s="40">
        <f>((($B$71/(1+((E$115+$A117*$B$17)*('WACC Build'!$C$24) + ('WACC Build'!$B$13)*('WACC Build'!$C$25)))^0.5 + $C$71/(1+((E$115+$A117*$B$17)*('WACC Build'!$C$24) + ('WACC Build'!$B$13)*('WACC Build'!$C$25)))^1.5 + $D$71/(1+((E$115+$A117*$B$17)*('WACC Build'!$C$24) + ('WACC Build'!$B$13)*('WACC Build'!$C$25)))^2.5 + $E$71/(1+((E$115+$A117*$B$17)*('WACC Build'!$C$24) + ('WACC Build'!$B$13)*('WACC Build'!$C$25)))^3.5 + $F$71/(1+((E$115+$A117*$B$17)*('WACC Build'!$C$24) + ('WACC Build'!$B$13)*('WACC Build'!$C$25)))^4.5) + (($F$71*(1+$H$44)/(((E$115+$A117*$B$17)*('WACC Build'!$C$24) + ('WACC Build'!$B$13)*('WACC Build'!$C$25))-$H$44))/(1+((E$115+$A117*$B$17)*('WACC Build'!$C$24) + ('WACC Build'!$B$13)*('WACC Build'!$C$25)))^4.5) + $B$84)/$B$86)</f>
        <v/>
      </c>
      <c r="F117" s="40">
        <f>((($B$71/(1+((F$115+$A117*$B$17)*('WACC Build'!$C$24) + ('WACC Build'!$B$13)*('WACC Build'!$C$25)))^0.5 + $C$71/(1+((F$115+$A117*$B$17)*('WACC Build'!$C$24) + ('WACC Build'!$B$13)*('WACC Build'!$C$25)))^1.5 + $D$71/(1+((F$115+$A117*$B$17)*('WACC Build'!$C$24) + ('WACC Build'!$B$13)*('WACC Build'!$C$25)))^2.5 + $E$71/(1+((F$115+$A117*$B$17)*('WACC Build'!$C$24) + ('WACC Build'!$B$13)*('WACC Build'!$C$25)))^3.5 + $F$71/(1+((F$115+$A117*$B$17)*('WACC Build'!$C$24) + ('WACC Build'!$B$13)*('WACC Build'!$C$25)))^4.5) + (($F$71*(1+$H$44)/(((F$115+$A117*$B$17)*('WACC Build'!$C$24) + ('WACC Build'!$B$13)*('WACC Build'!$C$25))-$H$44))/(1+((F$115+$A117*$B$17)*('WACC Build'!$C$24) + ('WACC Build'!$B$13)*('WACC Build'!$C$25)))^4.5) + $B$84)/$B$86)</f>
        <v/>
      </c>
    </row>
    <row r="118">
      <c r="A118" s="57" t="n">
        <v>1.82</v>
      </c>
      <c r="B118" s="40">
        <f>((($B$71/(1+((B$115+$A118*$B$17)*('WACC Build'!$C$24) + ('WACC Build'!$B$13)*('WACC Build'!$C$25)))^0.5 + $C$71/(1+((B$115+$A118*$B$17)*('WACC Build'!$C$24) + ('WACC Build'!$B$13)*('WACC Build'!$C$25)))^1.5 + $D$71/(1+((B$115+$A118*$B$17)*('WACC Build'!$C$24) + ('WACC Build'!$B$13)*('WACC Build'!$C$25)))^2.5 + $E$71/(1+((B$115+$A118*$B$17)*('WACC Build'!$C$24) + ('WACC Build'!$B$13)*('WACC Build'!$C$25)))^3.5 + $F$71/(1+((B$115+$A118*$B$17)*('WACC Build'!$C$24) + ('WACC Build'!$B$13)*('WACC Build'!$C$25)))^4.5) + (($F$71*(1+$H$44)/(((B$115+$A118*$B$17)*('WACC Build'!$C$24) + ('WACC Build'!$B$13)*('WACC Build'!$C$25))-$H$44))/(1+((B$115+$A118*$B$17)*('WACC Build'!$C$24) + ('WACC Build'!$B$13)*('WACC Build'!$C$25)))^4.5) + $B$84)/$B$86)</f>
        <v/>
      </c>
      <c r="C118" s="40">
        <f>((($B$71/(1+((C$115+$A118*$B$17)*('WACC Build'!$C$24) + ('WACC Build'!$B$13)*('WACC Build'!$C$25)))^0.5 + $C$71/(1+((C$115+$A118*$B$17)*('WACC Build'!$C$24) + ('WACC Build'!$B$13)*('WACC Build'!$C$25)))^1.5 + $D$71/(1+((C$115+$A118*$B$17)*('WACC Build'!$C$24) + ('WACC Build'!$B$13)*('WACC Build'!$C$25)))^2.5 + $E$71/(1+((C$115+$A118*$B$17)*('WACC Build'!$C$24) + ('WACC Build'!$B$13)*('WACC Build'!$C$25)))^3.5 + $F$71/(1+((C$115+$A118*$B$17)*('WACC Build'!$C$24) + ('WACC Build'!$B$13)*('WACC Build'!$C$25)))^4.5) + (($F$71*(1+$H$44)/(((C$115+$A118*$B$17)*('WACC Build'!$C$24) + ('WACC Build'!$B$13)*('WACC Build'!$C$25))-$H$44))/(1+((C$115+$A118*$B$17)*('WACC Build'!$C$24) + ('WACC Build'!$B$13)*('WACC Build'!$C$25)))^4.5) + $B$84)/$B$86)</f>
        <v/>
      </c>
      <c r="D118" s="51">
        <f>((($B$71/(1+((D$115+$A118*$B$17)*('WACC Build'!$C$24) + ('WACC Build'!$B$13)*('WACC Build'!$C$25)))^0.5 + $C$71/(1+((D$115+$A118*$B$17)*('WACC Build'!$C$24) + ('WACC Build'!$B$13)*('WACC Build'!$C$25)))^1.5 + $D$71/(1+((D$115+$A118*$B$17)*('WACC Build'!$C$24) + ('WACC Build'!$B$13)*('WACC Build'!$C$25)))^2.5 + $E$71/(1+((D$115+$A118*$B$17)*('WACC Build'!$C$24) + ('WACC Build'!$B$13)*('WACC Build'!$C$25)))^3.5 + $F$71/(1+((D$115+$A118*$B$17)*('WACC Build'!$C$24) + ('WACC Build'!$B$13)*('WACC Build'!$C$25)))^4.5) + (($F$71*(1+$H$44)/(((D$115+$A118*$B$17)*('WACC Build'!$C$24) + ('WACC Build'!$B$13)*('WACC Build'!$C$25))-$H$44))/(1+((D$115+$A118*$B$17)*('WACC Build'!$C$24) + ('WACC Build'!$B$13)*('WACC Build'!$C$25)))^4.5) + $B$84)/$B$86)</f>
        <v/>
      </c>
      <c r="E118" s="40">
        <f>((($B$71/(1+((E$115+$A118*$B$17)*('WACC Build'!$C$24) + ('WACC Build'!$B$13)*('WACC Build'!$C$25)))^0.5 + $C$71/(1+((E$115+$A118*$B$17)*('WACC Build'!$C$24) + ('WACC Build'!$B$13)*('WACC Build'!$C$25)))^1.5 + $D$71/(1+((E$115+$A118*$B$17)*('WACC Build'!$C$24) + ('WACC Build'!$B$13)*('WACC Build'!$C$25)))^2.5 + $E$71/(1+((E$115+$A118*$B$17)*('WACC Build'!$C$24) + ('WACC Build'!$B$13)*('WACC Build'!$C$25)))^3.5 + $F$71/(1+((E$115+$A118*$B$17)*('WACC Build'!$C$24) + ('WACC Build'!$B$13)*('WACC Build'!$C$25)))^4.5) + (($F$71*(1+$H$44)/(((E$115+$A118*$B$17)*('WACC Build'!$C$24) + ('WACC Build'!$B$13)*('WACC Build'!$C$25))-$H$44))/(1+((E$115+$A118*$B$17)*('WACC Build'!$C$24) + ('WACC Build'!$B$13)*('WACC Build'!$C$25)))^4.5) + $B$84)/$B$86)</f>
        <v/>
      </c>
      <c r="F118" s="40">
        <f>((($B$71/(1+((F$115+$A118*$B$17)*('WACC Build'!$C$24) + ('WACC Build'!$B$13)*('WACC Build'!$C$25)))^0.5 + $C$71/(1+((F$115+$A118*$B$17)*('WACC Build'!$C$24) + ('WACC Build'!$B$13)*('WACC Build'!$C$25)))^1.5 + $D$71/(1+((F$115+$A118*$B$17)*('WACC Build'!$C$24) + ('WACC Build'!$B$13)*('WACC Build'!$C$25)))^2.5 + $E$71/(1+((F$115+$A118*$B$17)*('WACC Build'!$C$24) + ('WACC Build'!$B$13)*('WACC Build'!$C$25)))^3.5 + $F$71/(1+((F$115+$A118*$B$17)*('WACC Build'!$C$24) + ('WACC Build'!$B$13)*('WACC Build'!$C$25)))^4.5) + (($F$71*(1+$H$44)/(((F$115+$A118*$B$17)*('WACC Build'!$C$24) + ('WACC Build'!$B$13)*('WACC Build'!$C$25))-$H$44))/(1+((F$115+$A118*$B$17)*('WACC Build'!$C$24) + ('WACC Build'!$B$13)*('WACC Build'!$C$25)))^4.5) + $B$84)/$B$86)</f>
        <v/>
      </c>
    </row>
    <row r="119">
      <c r="A119" s="56" t="n">
        <v>2.02</v>
      </c>
      <c r="B119" s="40">
        <f>((($B$71/(1+((B$115+$A119*$B$17)*('WACC Build'!$C$24) + ('WACC Build'!$B$13)*('WACC Build'!$C$25)))^0.5 + $C$71/(1+((B$115+$A119*$B$17)*('WACC Build'!$C$24) + ('WACC Build'!$B$13)*('WACC Build'!$C$25)))^1.5 + $D$71/(1+((B$115+$A119*$B$17)*('WACC Build'!$C$24) + ('WACC Build'!$B$13)*('WACC Build'!$C$25)))^2.5 + $E$71/(1+((B$115+$A119*$B$17)*('WACC Build'!$C$24) + ('WACC Build'!$B$13)*('WACC Build'!$C$25)))^3.5 + $F$71/(1+((B$115+$A119*$B$17)*('WACC Build'!$C$24) + ('WACC Build'!$B$13)*('WACC Build'!$C$25)))^4.5) + (($F$71*(1+$H$44)/(((B$115+$A119*$B$17)*('WACC Build'!$C$24) + ('WACC Build'!$B$13)*('WACC Build'!$C$25))-$H$44))/(1+((B$115+$A119*$B$17)*('WACC Build'!$C$24) + ('WACC Build'!$B$13)*('WACC Build'!$C$25)))^4.5) + $B$84)/$B$86)</f>
        <v/>
      </c>
      <c r="C119" s="40">
        <f>((($B$71/(1+((C$115+$A119*$B$17)*('WACC Build'!$C$24) + ('WACC Build'!$B$13)*('WACC Build'!$C$25)))^0.5 + $C$71/(1+((C$115+$A119*$B$17)*('WACC Build'!$C$24) + ('WACC Build'!$B$13)*('WACC Build'!$C$25)))^1.5 + $D$71/(1+((C$115+$A119*$B$17)*('WACC Build'!$C$24) + ('WACC Build'!$B$13)*('WACC Build'!$C$25)))^2.5 + $E$71/(1+((C$115+$A119*$B$17)*('WACC Build'!$C$24) + ('WACC Build'!$B$13)*('WACC Build'!$C$25)))^3.5 + $F$71/(1+((C$115+$A119*$B$17)*('WACC Build'!$C$24) + ('WACC Build'!$B$13)*('WACC Build'!$C$25)))^4.5) + (($F$71*(1+$H$44)/(((C$115+$A119*$B$17)*('WACC Build'!$C$24) + ('WACC Build'!$B$13)*('WACC Build'!$C$25))-$H$44))/(1+((C$115+$A119*$B$17)*('WACC Build'!$C$24) + ('WACC Build'!$B$13)*('WACC Build'!$C$25)))^4.5) + $B$84)/$B$86)</f>
        <v/>
      </c>
      <c r="D119" s="40">
        <f>((($B$71/(1+((D$115+$A119*$B$17)*('WACC Build'!$C$24) + ('WACC Build'!$B$13)*('WACC Build'!$C$25)))^0.5 + $C$71/(1+((D$115+$A119*$B$17)*('WACC Build'!$C$24) + ('WACC Build'!$B$13)*('WACC Build'!$C$25)))^1.5 + $D$71/(1+((D$115+$A119*$B$17)*('WACC Build'!$C$24) + ('WACC Build'!$B$13)*('WACC Build'!$C$25)))^2.5 + $E$71/(1+((D$115+$A119*$B$17)*('WACC Build'!$C$24) + ('WACC Build'!$B$13)*('WACC Build'!$C$25)))^3.5 + $F$71/(1+((D$115+$A119*$B$17)*('WACC Build'!$C$24) + ('WACC Build'!$B$13)*('WACC Build'!$C$25)))^4.5) + (($F$71*(1+$H$44)/(((D$115+$A119*$B$17)*('WACC Build'!$C$24) + ('WACC Build'!$B$13)*('WACC Build'!$C$25))-$H$44))/(1+((D$115+$A119*$B$17)*('WACC Build'!$C$24) + ('WACC Build'!$B$13)*('WACC Build'!$C$25)))^4.5) + $B$84)/$B$86)</f>
        <v/>
      </c>
      <c r="E119" s="40">
        <f>((($B$71/(1+((E$115+$A119*$B$17)*('WACC Build'!$C$24) + ('WACC Build'!$B$13)*('WACC Build'!$C$25)))^0.5 + $C$71/(1+((E$115+$A119*$B$17)*('WACC Build'!$C$24) + ('WACC Build'!$B$13)*('WACC Build'!$C$25)))^1.5 + $D$71/(1+((E$115+$A119*$B$17)*('WACC Build'!$C$24) + ('WACC Build'!$B$13)*('WACC Build'!$C$25)))^2.5 + $E$71/(1+((E$115+$A119*$B$17)*('WACC Build'!$C$24) + ('WACC Build'!$B$13)*('WACC Build'!$C$25)))^3.5 + $F$71/(1+((E$115+$A119*$B$17)*('WACC Build'!$C$24) + ('WACC Build'!$B$13)*('WACC Build'!$C$25)))^4.5) + (($F$71*(1+$H$44)/(((E$115+$A119*$B$17)*('WACC Build'!$C$24) + ('WACC Build'!$B$13)*('WACC Build'!$C$25))-$H$44))/(1+((E$115+$A119*$B$17)*('WACC Build'!$C$24) + ('WACC Build'!$B$13)*('WACC Build'!$C$25)))^4.5) + $B$84)/$B$86)</f>
        <v/>
      </c>
      <c r="F119" s="40">
        <f>((($B$71/(1+((F$115+$A119*$B$17)*('WACC Build'!$C$24) + ('WACC Build'!$B$13)*('WACC Build'!$C$25)))^0.5 + $C$71/(1+((F$115+$A119*$B$17)*('WACC Build'!$C$24) + ('WACC Build'!$B$13)*('WACC Build'!$C$25)))^1.5 + $D$71/(1+((F$115+$A119*$B$17)*('WACC Build'!$C$24) + ('WACC Build'!$B$13)*('WACC Build'!$C$25)))^2.5 + $E$71/(1+((F$115+$A119*$B$17)*('WACC Build'!$C$24) + ('WACC Build'!$B$13)*('WACC Build'!$C$25)))^3.5 + $F$71/(1+((F$115+$A119*$B$17)*('WACC Build'!$C$24) + ('WACC Build'!$B$13)*('WACC Build'!$C$25)))^4.5) + (($F$71*(1+$H$44)/(((F$115+$A119*$B$17)*('WACC Build'!$C$24) + ('WACC Build'!$B$13)*('WACC Build'!$C$25))-$H$44))/(1+((F$115+$A119*$B$17)*('WACC Build'!$C$24) + ('WACC Build'!$B$13)*('WACC Build'!$C$25)))^4.5) + $B$84)/$B$86)</f>
        <v/>
      </c>
    </row>
    <row r="120">
      <c r="A120" s="56" t="n">
        <v>2.22</v>
      </c>
      <c r="B120" s="40">
        <f>((($B$71/(1+((B$115+$A120*$B$17)*('WACC Build'!$C$24) + ('WACC Build'!$B$13)*('WACC Build'!$C$25)))^0.5 + $C$71/(1+((B$115+$A120*$B$17)*('WACC Build'!$C$24) + ('WACC Build'!$B$13)*('WACC Build'!$C$25)))^1.5 + $D$71/(1+((B$115+$A120*$B$17)*('WACC Build'!$C$24) + ('WACC Build'!$B$13)*('WACC Build'!$C$25)))^2.5 + $E$71/(1+((B$115+$A120*$B$17)*('WACC Build'!$C$24) + ('WACC Build'!$B$13)*('WACC Build'!$C$25)))^3.5 + $F$71/(1+((B$115+$A120*$B$17)*('WACC Build'!$C$24) + ('WACC Build'!$B$13)*('WACC Build'!$C$25)))^4.5) + (($F$71*(1+$H$44)/(((B$115+$A120*$B$17)*('WACC Build'!$C$24) + ('WACC Build'!$B$13)*('WACC Build'!$C$25))-$H$44))/(1+((B$115+$A120*$B$17)*('WACC Build'!$C$24) + ('WACC Build'!$B$13)*('WACC Build'!$C$25)))^4.5) + $B$84)/$B$86)</f>
        <v/>
      </c>
      <c r="C120" s="40">
        <f>((($B$71/(1+((C$115+$A120*$B$17)*('WACC Build'!$C$24) + ('WACC Build'!$B$13)*('WACC Build'!$C$25)))^0.5 + $C$71/(1+((C$115+$A120*$B$17)*('WACC Build'!$C$24) + ('WACC Build'!$B$13)*('WACC Build'!$C$25)))^1.5 + $D$71/(1+((C$115+$A120*$B$17)*('WACC Build'!$C$24) + ('WACC Build'!$B$13)*('WACC Build'!$C$25)))^2.5 + $E$71/(1+((C$115+$A120*$B$17)*('WACC Build'!$C$24) + ('WACC Build'!$B$13)*('WACC Build'!$C$25)))^3.5 + $F$71/(1+((C$115+$A120*$B$17)*('WACC Build'!$C$24) + ('WACC Build'!$B$13)*('WACC Build'!$C$25)))^4.5) + (($F$71*(1+$H$44)/(((C$115+$A120*$B$17)*('WACC Build'!$C$24) + ('WACC Build'!$B$13)*('WACC Build'!$C$25))-$H$44))/(1+((C$115+$A120*$B$17)*('WACC Build'!$C$24) + ('WACC Build'!$B$13)*('WACC Build'!$C$25)))^4.5) + $B$84)/$B$86)</f>
        <v/>
      </c>
      <c r="D120" s="40">
        <f>((($B$71/(1+((D$115+$A120*$B$17)*('WACC Build'!$C$24) + ('WACC Build'!$B$13)*('WACC Build'!$C$25)))^0.5 + $C$71/(1+((D$115+$A120*$B$17)*('WACC Build'!$C$24) + ('WACC Build'!$B$13)*('WACC Build'!$C$25)))^1.5 + $D$71/(1+((D$115+$A120*$B$17)*('WACC Build'!$C$24) + ('WACC Build'!$B$13)*('WACC Build'!$C$25)))^2.5 + $E$71/(1+((D$115+$A120*$B$17)*('WACC Build'!$C$24) + ('WACC Build'!$B$13)*('WACC Build'!$C$25)))^3.5 + $F$71/(1+((D$115+$A120*$B$17)*('WACC Build'!$C$24) + ('WACC Build'!$B$13)*('WACC Build'!$C$25)))^4.5) + (($F$71*(1+$H$44)/(((D$115+$A120*$B$17)*('WACC Build'!$C$24) + ('WACC Build'!$B$13)*('WACC Build'!$C$25))-$H$44))/(1+((D$115+$A120*$B$17)*('WACC Build'!$C$24) + ('WACC Build'!$B$13)*('WACC Build'!$C$25)))^4.5) + $B$84)/$B$86)</f>
        <v/>
      </c>
      <c r="E120" s="40">
        <f>((($B$71/(1+((E$115+$A120*$B$17)*('WACC Build'!$C$24) + ('WACC Build'!$B$13)*('WACC Build'!$C$25)))^0.5 + $C$71/(1+((E$115+$A120*$B$17)*('WACC Build'!$C$24) + ('WACC Build'!$B$13)*('WACC Build'!$C$25)))^1.5 + $D$71/(1+((E$115+$A120*$B$17)*('WACC Build'!$C$24) + ('WACC Build'!$B$13)*('WACC Build'!$C$25)))^2.5 + $E$71/(1+((E$115+$A120*$B$17)*('WACC Build'!$C$24) + ('WACC Build'!$B$13)*('WACC Build'!$C$25)))^3.5 + $F$71/(1+((E$115+$A120*$B$17)*('WACC Build'!$C$24) + ('WACC Build'!$B$13)*('WACC Build'!$C$25)))^4.5) + (($F$71*(1+$H$44)/(((E$115+$A120*$B$17)*('WACC Build'!$C$24) + ('WACC Build'!$B$13)*('WACC Build'!$C$25))-$H$44))/(1+((E$115+$A120*$B$17)*('WACC Build'!$C$24) + ('WACC Build'!$B$13)*('WACC Build'!$C$25)))^4.5) + $B$84)/$B$86)</f>
        <v/>
      </c>
      <c r="F120" s="40">
        <f>((($B$71/(1+((F$115+$A120*$B$17)*('WACC Build'!$C$24) + ('WACC Build'!$B$13)*('WACC Build'!$C$25)))^0.5 + $C$71/(1+((F$115+$A120*$B$17)*('WACC Build'!$C$24) + ('WACC Build'!$B$13)*('WACC Build'!$C$25)))^1.5 + $D$71/(1+((F$115+$A120*$B$17)*('WACC Build'!$C$24) + ('WACC Build'!$B$13)*('WACC Build'!$C$25)))^2.5 + $E$71/(1+((F$115+$A120*$B$17)*('WACC Build'!$C$24) + ('WACC Build'!$B$13)*('WACC Build'!$C$25)))^3.5 + $F$71/(1+((F$115+$A120*$B$17)*('WACC Build'!$C$24) + ('WACC Build'!$B$13)*('WACC Build'!$C$25)))^4.5) + (($F$71*(1+$H$44)/(((F$115+$A120*$B$17)*('WACC Build'!$C$24) + ('WACC Build'!$B$13)*('WACC Build'!$C$25))-$H$44))/(1+((F$115+$A120*$B$17)*('WACC Build'!$C$24) + ('WACC Build'!$B$13)*('WACC Build'!$C$25)))^4.5) + $B$84)/$B$86)</f>
        <v/>
      </c>
    </row>
  </sheetData>
  <mergeCells count="14">
    <mergeCell ref="A92:H92"/>
    <mergeCell ref="A69:H69"/>
    <mergeCell ref="A29:H29"/>
    <mergeCell ref="A20:H20"/>
    <mergeCell ref="A43:H43"/>
    <mergeCell ref="A94:F94"/>
    <mergeCell ref="A51:H51"/>
    <mergeCell ref="A60:H60"/>
    <mergeCell ref="A36:H36"/>
    <mergeCell ref="A78:C78"/>
    <mergeCell ref="A114:F114"/>
    <mergeCell ref="A104:F104"/>
    <mergeCell ref="A6:H6"/>
    <mergeCell ref="A22:H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Tesla, Inc. (NASDAQ: TSLA)</t>
        </is>
      </c>
    </row>
    <row r="2">
      <c r="A2" s="2" t="inlineStr">
        <is>
          <t>Weighted Average Cost of Capital (WACC) Schedule | CAPM Methodology &amp; Capital Structure</t>
        </is>
      </c>
    </row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58" t="n">
        <v>0.0465</v>
      </c>
    </row>
    <row r="6">
      <c r="A6" s="8" t="inlineStr">
        <is>
          <t>Equity Beta (5-Year Monthly vs S&amp;P 500)</t>
        </is>
      </c>
      <c r="B6" s="59" t="n">
        <v>1.82</v>
      </c>
    </row>
    <row r="7">
      <c r="A7" s="8" t="inlineStr">
        <is>
          <t>Market Equity Risk Premium (ERP)</t>
        </is>
      </c>
      <c r="B7" s="58" t="n">
        <v>0.055</v>
      </c>
    </row>
    <row r="8">
      <c r="A8" s="11" t="inlineStr">
        <is>
          <t>Cost of Equity (Ke = Rf + Beta * ERP)</t>
        </is>
      </c>
      <c r="B8" s="60">
        <f>B5+B6*B7</f>
        <v/>
      </c>
    </row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Pre-Tax Cost of Debt (Kd)</t>
        </is>
      </c>
      <c r="B11" s="58" t="n">
        <v>0.055</v>
      </c>
    </row>
    <row r="12">
      <c r="A12" s="8" t="inlineStr">
        <is>
          <t>Effective Corporate Tax Rate (t)</t>
        </is>
      </c>
      <c r="B12" s="13" t="n">
        <v>0.21</v>
      </c>
    </row>
    <row r="13">
      <c r="A13" s="11" t="inlineStr">
        <is>
          <t>After-Tax Cost of Debt (Kd * (1 - t))</t>
        </is>
      </c>
      <c r="B13" s="60">
        <f>B11*(1-B12)</f>
        <v/>
      </c>
    </row>
    <row r="14">
      <c r="A14" s="11" t="inlineStr">
        <is>
          <t>Current Share Price ($)</t>
        </is>
      </c>
      <c r="B14" s="61">
        <f>'DCF Valuation'!B7</f>
        <v/>
      </c>
    </row>
    <row r="15">
      <c r="A15" s="11" t="inlineStr">
        <is>
          <t>Diluted Shares Outstanding (M)</t>
        </is>
      </c>
      <c r="B15" s="62">
        <f>'DCF Valuation'!B8</f>
        <v/>
      </c>
    </row>
    <row r="16">
      <c r="A16" s="11" t="inlineStr">
        <is>
          <t>Market Capitalization ($M)</t>
        </is>
      </c>
      <c r="B16" s="12">
        <f>B14*B15</f>
        <v/>
      </c>
    </row>
    <row r="17">
      <c r="A17" s="8" t="inlineStr">
        <is>
          <t>Total Debt (Current + Noncurrent + Leases) ($M)</t>
        </is>
      </c>
      <c r="B17" s="9" t="n">
        <v>8376</v>
      </c>
    </row>
    <row r="18">
      <c r="A18" s="8" t="inlineStr">
        <is>
          <t>Cash, Cash Equivalents &amp; ST Investments ($M)</t>
        </is>
      </c>
      <c r="B18" s="9" t="n">
        <v>44059</v>
      </c>
    </row>
    <row r="19">
      <c r="A19" s="11" t="inlineStr">
        <is>
          <t>Net Debt ($M)</t>
        </is>
      </c>
      <c r="B19" s="12">
        <f>B17-B18</f>
        <v/>
      </c>
    </row>
    <row r="20">
      <c r="A20" s="11" t="inlineStr">
        <is>
          <t>Enterprise Value ($M)</t>
        </is>
      </c>
      <c r="B20" s="12">
        <f>B16+B19</f>
        <v/>
      </c>
    </row>
    <row r="22">
      <c r="A22" s="6" t="inlineStr">
        <is>
          <t>III. WACC CALCULATION SUMMARY</t>
        </is>
      </c>
      <c r="B22" s="7" t="n"/>
      <c r="C22" s="7" t="n"/>
      <c r="D22" s="7" t="n"/>
      <c r="E22" s="7" t="n"/>
    </row>
    <row r="23">
      <c r="A23" s="16" t="inlineStr">
        <is>
          <t>Component</t>
        </is>
      </c>
      <c r="B23" s="63" t="inlineStr">
        <is>
          <t>Market Value ($M)</t>
        </is>
      </c>
      <c r="C23" s="63" t="inlineStr">
        <is>
          <t>Capital Weight (%)</t>
        </is>
      </c>
      <c r="D23" s="63" t="inlineStr">
        <is>
          <t>Cost of Capital (%)</t>
        </is>
      </c>
      <c r="E23" s="63" t="inlineStr">
        <is>
          <t>Weighted Contribution (%)</t>
        </is>
      </c>
    </row>
    <row r="24">
      <c r="A24" s="8" t="inlineStr">
        <is>
          <t>Common Equity (Market Cap)</t>
        </is>
      </c>
      <c r="B24" s="40">
        <f>B16</f>
        <v/>
      </c>
      <c r="C24" s="29">
        <f>B24/$B$20</f>
        <v/>
      </c>
      <c r="D24" s="64">
        <f>B8</f>
        <v/>
      </c>
      <c r="E24" s="64">
        <f>C24*D24</f>
        <v/>
      </c>
    </row>
    <row r="25">
      <c r="A25" s="8" t="inlineStr">
        <is>
          <t>Net Debt (Debt Weight Adjustment)</t>
        </is>
      </c>
      <c r="B25" s="40">
        <f>B19</f>
        <v/>
      </c>
      <c r="C25" s="29">
        <f>B25/$B$20</f>
        <v/>
      </c>
      <c r="D25" s="64">
        <f>B13</f>
        <v/>
      </c>
      <c r="E25" s="64">
        <f>C25*D25</f>
        <v/>
      </c>
    </row>
    <row r="26">
      <c r="A26" s="32" t="inlineStr">
        <is>
          <t>Total Capitalization / Base WACC</t>
        </is>
      </c>
      <c r="B26" s="65">
        <f>B20</f>
        <v/>
      </c>
      <c r="C26" s="66">
        <f>SUM(C24:C25)</f>
        <v/>
      </c>
      <c r="D26" s="67" t="inlineStr">
        <is>
          <t>-</t>
        </is>
      </c>
      <c r="E26" s="68">
        <f>SUM(E24:E25)</f>
        <v/>
      </c>
    </row>
  </sheetData>
  <mergeCells count="3">
    <mergeCell ref="A22:E22"/>
    <mergeCell ref="A10:E10"/>
    <mergeCell ref="A4:E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2026-08-19T06:44:42Z</dcterms:created>
  <dcterms:modified xmlns:dcterms="http://purl.org/dc/terms/" xmlns:xsi="http://www.w3.org/2001/XMLSchema-instance" xsi:type="dcterms:W3CDTF">2026-08-19T06:44:43Z</dcterms:modified>
</cp:coreProperties>
</file>