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$#,##0.00"/>
    <numFmt numFmtId="165" formatCode="$#,##0.00;($#,##0.00);$0.00"/>
    <numFmt numFmtId="166" formatCode="0.0%"/>
    <numFmt numFmtId="167" formatCode="-0.0%;0.0%;0.0%"/>
    <numFmt numFmtId="168" formatCode="($#,##0.00);($#,##0.00);$0.00"/>
    <numFmt numFmtId="169" formatCode="-0.0%;+0.0%;0.0%"/>
    <numFmt numFmtId="170" formatCode="0.0"/>
    <numFmt numFmtId="171" formatCode="0.0000"/>
    <numFmt numFmtId="172" formatCode="+0.0%;-0.0%;0.0%"/>
    <numFmt numFmtId="173" formatCode="$#,##0.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0"/>
    </font>
    <font>
      <name val="Calibri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7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166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0" fontId="7" fillId="4" borderId="3" pivotButton="0" quotePrefix="0" xfId="0"/>
    <xf numFmtId="165" fontId="7" fillId="4" borderId="3" applyAlignment="1" pivotButton="0" quotePrefix="0" xfId="0">
      <alignment horizontal="right" vertical="center"/>
    </xf>
    <xf numFmtId="170" fontId="6" fillId="0" borderId="1" applyAlignment="1" pivotButton="0" quotePrefix="0" xfId="0">
      <alignment horizontal="center" vertical="center"/>
    </xf>
    <xf numFmtId="171" fontId="6" fillId="0" borderId="1" applyAlignment="1" pivotButton="0" quotePrefix="0" xfId="0">
      <alignment horizontal="right" vertical="center"/>
    </xf>
    <xf numFmtId="0" fontId="3" fillId="3" borderId="3" pivotButton="0" quotePrefix="0" xfId="0"/>
    <xf numFmtId="165" fontId="3" fillId="3" borderId="3" applyAlignment="1" pivotButton="0" quotePrefix="0" xfId="0">
      <alignment horizontal="right" vertical="center"/>
    </xf>
    <xf numFmtId="0" fontId="0" fillId="3" borderId="3" pivotButton="0" quotePrefix="0" xfId="0"/>
    <xf numFmtId="165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72" fontId="3" fillId="4" borderId="1" applyAlignment="1" pivotButton="0" quotePrefix="0" xfId="0">
      <alignment horizontal="right" vertical="center"/>
    </xf>
    <xf numFmtId="0" fontId="7" fillId="0" borderId="0" pivotButton="0" quotePrefix="0" xfId="0"/>
    <xf numFmtId="166" fontId="3" fillId="3" borderId="2" applyAlignment="1" pivotButton="0" quotePrefix="0" xfId="0">
      <alignment horizontal="center" vertical="center"/>
    </xf>
    <xf numFmtId="166" fontId="3" fillId="4" borderId="2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72" fontId="3" fillId="3" borderId="2" applyAlignment="1" pivotButton="0" quotePrefix="0" xfId="0">
      <alignment horizontal="center" vertical="center"/>
    </xf>
    <xf numFmtId="172" fontId="3" fillId="4" borderId="2" applyAlignment="1" pivotButton="0" quotePrefix="0" xfId="0">
      <alignment horizontal="center" vertical="center"/>
    </xf>
    <xf numFmtId="173" fontId="3" fillId="3" borderId="1" applyAlignment="1" pivotButton="0" quotePrefix="0" xfId="0">
      <alignment horizontal="center" vertical="center"/>
    </xf>
    <xf numFmtId="173" fontId="3" fillId="4" borderId="1" applyAlignment="1" pivotButton="0" quotePrefix="0" xfId="0">
      <alignment horizontal="center" vertical="center"/>
    </xf>
    <xf numFmtId="10" fontId="3" fillId="3" borderId="2" applyAlignment="1" pivotButton="0" quotePrefix="0" xfId="0">
      <alignment horizontal="center" vertical="center"/>
    </xf>
    <xf numFmtId="10" fontId="3" fillId="4" borderId="2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Model Builder</author>
    <author>Wave Life Sciences 10-Q / Market Data</author>
    <author>WACC Schedule</author>
    <author>SEC Form 10-K</author>
    <author>Valuation Summary</author>
  </authors>
  <commentList>
    <comment ref="B4" authorId="0" shapeId="0">
      <text>
        <t>Case Selector: 1 = Bear Case, 2 = Base Case, 3 = Bull Case</t>
      </text>
    </comment>
    <comment ref="B7" authorId="1" shapeId="0">
      <text>
        <t>Market close price as of August 19, 2026 ($5.22)</t>
      </text>
    </comment>
    <comment ref="B8" authorId="1" shapeId="0">
      <text>
        <t>SEC Form 10-Q Q2 2026 Diluted share count (200.17M shares)</t>
      </text>
    </comment>
    <comment ref="B10" authorId="1" shapeId="0">
      <text>
        <t>SEC Form 10-Q Balance sheet as of June 30, 2026 ($490.60M)</t>
      </text>
    </comment>
    <comment ref="B11" authorId="1" shapeId="0">
      <text>
        <t>SEC Form 10-Q Balance sheet as of June 30, 2026 ($43.59M)</t>
      </text>
    </comment>
    <comment ref="B14" authorId="1" shapeId="0">
      <text>
        <t>US Federal statutory corporate tax rate (21.0%)</t>
      </text>
    </comment>
    <comment ref="B15" authorId="1" shapeId="0">
      <text>
        <t>10-Year US Treasury Benchmark Yield (August 2026, 4.69%)</t>
      </text>
    </comment>
    <comment ref="B16" authorId="1" shapeId="0">
      <text>
        <t>Beta vs S&amp;P 500 reflecting clinical biopharma volatility (1.69)</t>
      </text>
    </comment>
    <comment ref="B17" authorId="1" shapeId="0">
      <text>
        <t>Standard institutional market equity risk premium (5.50%)</t>
      </text>
    </comment>
    <comment ref="B18" authorId="1" shapeId="0">
      <text>
        <t>Estimated corporate borrowing rate (~7.00%)</t>
      </text>
    </comment>
    <comment ref="B57" authorId="2" shapeId="0">
      <text>
        <t>Row 15: 10-Yr US Treasury Yield</t>
      </text>
    </comment>
    <comment ref="B58" authorId="2" shapeId="0">
      <text>
        <t>Row 16: 5-Year Monthly Beta</t>
      </text>
    </comment>
    <comment ref="B59" authorId="2" shapeId="0">
      <text>
        <t>Row 17: Market Equity Risk Premium</t>
      </text>
    </comment>
    <comment ref="B60" authorId="2" shapeId="0">
      <text>
        <t>CAPM Formula: Cost of Equity</t>
      </text>
    </comment>
    <comment ref="B61" authorId="2" shapeId="0">
      <text>
        <t>Row 18: Borrowing rate (~7.00%)</t>
      </text>
    </comment>
    <comment ref="B62" authorId="2" shapeId="0">
      <text>
        <t>Row 14: Corporate tax rate</t>
      </text>
    </comment>
    <comment ref="B63" authorId="2" shapeId="0">
      <text>
        <t>Effective after-tax cost of debt</t>
      </text>
    </comment>
    <comment ref="B64" authorId="2" shapeId="0">
      <text>
        <t>Row 9: Diluted Market Cap</t>
      </text>
    </comment>
    <comment ref="B65" authorId="2" shapeId="0">
      <text>
        <t>Row 11: Total Debt</t>
      </text>
    </comment>
    <comment ref="B66" authorId="2" shapeId="0">
      <text>
        <t>Row 10: Cash and Marketable Securities</t>
      </text>
    </comment>
    <comment ref="B67" authorId="2" shapeId="0">
      <text>
        <t>Row 12: Total Debt - Cash</t>
      </text>
    </comment>
    <comment ref="B68" authorId="2" shapeId="0">
      <text>
        <t>Row 13: Market Cap + Net Debt</t>
      </text>
    </comment>
    <comment ref="B69" authorId="2" shapeId="0">
      <text>
        <t>Discount rate aligned with biopharma stage</t>
      </text>
    </comment>
    <comment ref="B74" authorId="3" shapeId="0">
      <text>
        <t>FY2025 Actual Net Revenue YoY Decline (-60.6%) due to Takeda collaboration conclusion</t>
      </text>
    </comment>
    <comment ref="B75" authorId="3" shapeId="0">
      <text>
        <t>FY2025 Actual Total Revenue ($42.70M)</t>
      </text>
    </comment>
    <comment ref="B78" authorId="3" shapeId="0">
      <text>
        <t>FY2025 Actual R&amp;D Expenses ($182.80M)</t>
      </text>
    </comment>
    <comment ref="B79" authorId="3" shapeId="0">
      <text>
        <t>FY2025 Actual G&amp;A Expenses ($41.50M)</t>
      </text>
    </comment>
    <comment ref="B80" authorId="3" shapeId="0">
      <text>
        <t>FY2025 Actual Operating Loss ($(188.10)M)</t>
      </text>
    </comment>
    <comment ref="B84" authorId="3" shapeId="0">
      <text>
        <t>FY2025 Actual D&amp;A (~$2.50M)</t>
      </text>
    </comment>
    <comment ref="B85" authorId="3" shapeId="0">
      <text>
        <t>FY2025 Actual CapEx ($9.20M)</t>
      </text>
    </comment>
    <comment ref="B86" authorId="3" shapeId="0">
      <text>
        <t>FY2025 Working Capital change (~$1.00M)</t>
      </text>
    </comment>
    <comment ref="B99" authorId="4" shapeId="0">
      <text>
        <t>Normalized mature biotech cash flow post-commercial ramp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Wave Life Sciences Ltd. (NASDAQ: WVE)</t>
        </is>
      </c>
    </row>
    <row r="2">
      <c r="A2" s="2" t="inlineStr">
        <is>
          <t>Institutional DCF Valuation Model | Report Date: August 19, 2026 | Source: SEC Form 10-K &amp; Q2 2026 10-Q Disclosures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CASE",IF(B4=2,"[2] BASE CASE (Active)","[3] BULL CASE"))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5.22</v>
      </c>
    </row>
    <row r="8">
      <c r="A8" s="8" t="inlineStr">
        <is>
          <t>Diluted Shares Outstanding (M)</t>
        </is>
      </c>
      <c r="B8" s="10" t="n">
        <v>200.17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 and Cash Equivalents ($M)</t>
        </is>
      </c>
      <c r="B10" s="9" t="n">
        <v>490.6</v>
      </c>
    </row>
    <row r="11">
      <c r="A11" s="8" t="inlineStr">
        <is>
          <t>Total Debt ($M)</t>
        </is>
      </c>
      <c r="B11" s="9" t="n">
        <v>43.59</v>
      </c>
    </row>
    <row r="12">
      <c r="A12" s="11" t="inlineStr">
        <is>
          <t>Net Debt ($M)</t>
        </is>
      </c>
      <c r="B12" s="13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4" t="n">
        <v>0.21</v>
      </c>
    </row>
    <row r="15">
      <c r="A15" s="8" t="inlineStr">
        <is>
          <t>Risk-Free Rate (10-Yr US Treasury) (%)</t>
        </is>
      </c>
      <c r="B15" s="15" t="n">
        <v>0.0469</v>
      </c>
    </row>
    <row r="16">
      <c r="A16" s="8" t="inlineStr">
        <is>
          <t>Equity Beta (5-Year / 1-Year Monthly)</t>
        </is>
      </c>
      <c r="B16" s="16" t="n">
        <v>1.69</v>
      </c>
    </row>
    <row r="17">
      <c r="A17" s="8" t="inlineStr">
        <is>
          <t>Market Equity Risk Premium (ERP) (%)</t>
        </is>
      </c>
      <c r="B17" s="15" t="n">
        <v>0.055</v>
      </c>
    </row>
    <row r="18">
      <c r="A18" s="8" t="inlineStr">
        <is>
          <t>Pre-Tax Cost of Debt (%)</t>
        </is>
      </c>
      <c r="B18" s="15" t="n">
        <v>0.07000000000000001</v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7" t="inlineStr">
        <is>
          <t>Driver / Assumption</t>
        </is>
      </c>
      <c r="B21" s="18" t="inlineStr">
        <is>
          <t>FY2025A</t>
        </is>
      </c>
      <c r="C21" s="18" t="inlineStr">
        <is>
          <t>FY2026E</t>
        </is>
      </c>
      <c r="D21" s="18" t="inlineStr">
        <is>
          <t>FY2027E</t>
        </is>
      </c>
      <c r="E21" s="18" t="inlineStr">
        <is>
          <t>FY2028E</t>
        </is>
      </c>
      <c r="F21" s="18" t="inlineStr">
        <is>
          <t>FY2029E</t>
        </is>
      </c>
      <c r="G21" s="18" t="inlineStr">
        <is>
          <t>FY2030E</t>
        </is>
      </c>
      <c r="H21" s="18" t="inlineStr">
        <is>
          <t>Terminal / WACC</t>
        </is>
      </c>
    </row>
    <row r="22">
      <c r="A22" s="19" t="inlineStr">
        <is>
          <t>Bear Case Assumptions (Selector = 1)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8" t="inlineStr">
        <is>
          <t xml:space="preserve">  Revenue Growth (%)</t>
        </is>
      </c>
      <c r="B23" s="21" t="inlineStr">
        <is>
          <t>—</t>
        </is>
      </c>
      <c r="C23" s="14" t="n">
        <v>0.054</v>
      </c>
      <c r="D23" s="14" t="n">
        <v>0.333</v>
      </c>
      <c r="E23" s="14" t="n">
        <v>0.5</v>
      </c>
      <c r="F23" s="14" t="n">
        <v>0.556</v>
      </c>
      <c r="G23" s="14" t="n">
        <v>0.571</v>
      </c>
      <c r="H23" s="14" t="n">
        <v>0.02</v>
      </c>
    </row>
    <row r="24">
      <c r="A24" s="8" t="inlineStr">
        <is>
          <t xml:space="preserve">  Gross Margin (%)</t>
        </is>
      </c>
      <c r="B24" s="21" t="inlineStr">
        <is>
          <t>—</t>
        </is>
      </c>
      <c r="C24" s="14" t="n">
        <v>0.8</v>
      </c>
      <c r="D24" s="14" t="n">
        <v>0.8100000000000001</v>
      </c>
      <c r="E24" s="14" t="n">
        <v>0.82</v>
      </c>
      <c r="F24" s="14" t="n">
        <v>0.83</v>
      </c>
      <c r="G24" s="14" t="n">
        <v>0.84</v>
      </c>
      <c r="H24" s="15" t="n">
        <v>0.135</v>
      </c>
    </row>
    <row r="25">
      <c r="A25" s="8" t="inlineStr">
        <is>
          <t xml:space="preserve">  R&amp;D Expenses ($M)</t>
        </is>
      </c>
      <c r="B25" s="21" t="inlineStr">
        <is>
          <t>—</t>
        </is>
      </c>
      <c r="C25" s="9" t="n">
        <v>195</v>
      </c>
      <c r="D25" s="9" t="n">
        <v>205</v>
      </c>
      <c r="E25" s="9" t="n">
        <v>215</v>
      </c>
      <c r="F25" s="9" t="n">
        <v>225</v>
      </c>
      <c r="G25" s="9" t="n">
        <v>235</v>
      </c>
      <c r="H25" s="22" t="inlineStr"/>
    </row>
    <row r="26">
      <c r="A26" s="8" t="inlineStr">
        <is>
          <t xml:space="preserve">  SG&amp;A Expenses ($M)</t>
        </is>
      </c>
      <c r="B26" s="21" t="inlineStr">
        <is>
          <t>—</t>
        </is>
      </c>
      <c r="C26" s="9" t="n">
        <v>45</v>
      </c>
      <c r="D26" s="9" t="n">
        <v>50</v>
      </c>
      <c r="E26" s="9" t="n">
        <v>60</v>
      </c>
      <c r="F26" s="9" t="n">
        <v>72</v>
      </c>
      <c r="G26" s="9" t="n">
        <v>85</v>
      </c>
      <c r="H26" s="22" t="inlineStr"/>
    </row>
    <row r="27">
      <c r="A27" s="8" t="inlineStr">
        <is>
          <t xml:space="preserve">  D&amp;A (% of Revenue)</t>
        </is>
      </c>
      <c r="B27" s="21" t="inlineStr">
        <is>
          <t>—</t>
        </is>
      </c>
      <c r="C27" s="14" t="n">
        <v>0.03</v>
      </c>
      <c r="D27" s="14" t="n">
        <v>0.03</v>
      </c>
      <c r="E27" s="14" t="n">
        <v>0.03</v>
      </c>
      <c r="F27" s="14" t="n">
        <v>0.03</v>
      </c>
      <c r="G27" s="14" t="n">
        <v>0.03</v>
      </c>
      <c r="H27" s="22" t="inlineStr"/>
    </row>
    <row r="28">
      <c r="A28" s="8" t="inlineStr">
        <is>
          <t xml:space="preserve">  CapEx (% of Revenue)</t>
        </is>
      </c>
      <c r="B28" s="21" t="inlineStr">
        <is>
          <t>—</t>
        </is>
      </c>
      <c r="C28" s="14" t="n">
        <v>0.05</v>
      </c>
      <c r="D28" s="14" t="n">
        <v>0.05</v>
      </c>
      <c r="E28" s="14" t="n">
        <v>0.05</v>
      </c>
      <c r="F28" s="14" t="n">
        <v>0.05</v>
      </c>
      <c r="G28" s="14" t="n">
        <v>0.05</v>
      </c>
      <c r="H28" s="22" t="inlineStr"/>
    </row>
    <row r="29">
      <c r="A29" s="8" t="inlineStr">
        <is>
          <t xml:space="preserve">  Δ NWC (% of Δ Revenue)</t>
        </is>
      </c>
      <c r="B29" s="21" t="inlineStr">
        <is>
          <t>—</t>
        </is>
      </c>
      <c r="C29" s="14" t="n">
        <v>0.03</v>
      </c>
      <c r="D29" s="14" t="n">
        <v>0.03</v>
      </c>
      <c r="E29" s="14" t="n">
        <v>0.03</v>
      </c>
      <c r="F29" s="14" t="n">
        <v>0.03</v>
      </c>
      <c r="G29" s="14" t="n">
        <v>0.03</v>
      </c>
      <c r="H29" s="22" t="inlineStr"/>
    </row>
    <row r="30">
      <c r="A30" s="19" t="inlineStr">
        <is>
          <t>Base Case Assumptions (Selector = 2)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8" t="inlineStr">
        <is>
          <t xml:space="preserve">  Revenue Growth (%)</t>
        </is>
      </c>
      <c r="B31" s="21" t="inlineStr">
        <is>
          <t>—</t>
        </is>
      </c>
      <c r="C31" s="14" t="n">
        <v>0.218</v>
      </c>
      <c r="D31" s="14" t="n">
        <v>0.635</v>
      </c>
      <c r="E31" s="14" t="n">
        <v>0.765</v>
      </c>
      <c r="F31" s="14" t="n">
        <v>0.867</v>
      </c>
      <c r="G31" s="14" t="n">
        <v>0.714</v>
      </c>
      <c r="H31" s="14" t="n">
        <v>0.03</v>
      </c>
    </row>
    <row r="32">
      <c r="A32" s="8" t="inlineStr">
        <is>
          <t xml:space="preserve">  Gross Margin (%)</t>
        </is>
      </c>
      <c r="B32" s="21" t="inlineStr">
        <is>
          <t>—</t>
        </is>
      </c>
      <c r="C32" s="14" t="n">
        <v>0.82</v>
      </c>
      <c r="D32" s="14" t="n">
        <v>0.83</v>
      </c>
      <c r="E32" s="14" t="n">
        <v>0.84</v>
      </c>
      <c r="F32" s="14" t="n">
        <v>0.85</v>
      </c>
      <c r="G32" s="14" t="n">
        <v>0.86</v>
      </c>
      <c r="H32" s="15" t="n">
        <v>0.135</v>
      </c>
    </row>
    <row r="33">
      <c r="A33" s="8" t="inlineStr">
        <is>
          <t xml:space="preserve">  R&amp;D Expenses ($M)</t>
        </is>
      </c>
      <c r="B33" s="21" t="inlineStr">
        <is>
          <t>—</t>
        </is>
      </c>
      <c r="C33" s="9" t="n">
        <v>195</v>
      </c>
      <c r="D33" s="9" t="n">
        <v>210</v>
      </c>
      <c r="E33" s="9" t="n">
        <v>225</v>
      </c>
      <c r="F33" s="9" t="n">
        <v>240</v>
      </c>
      <c r="G33" s="9" t="n">
        <v>255</v>
      </c>
      <c r="H33" s="22" t="inlineStr"/>
    </row>
    <row r="34">
      <c r="A34" s="8" t="inlineStr">
        <is>
          <t xml:space="preserve">  SG&amp;A Expenses ($M)</t>
        </is>
      </c>
      <c r="B34" s="21" t="inlineStr">
        <is>
          <t>—</t>
        </is>
      </c>
      <c r="C34" s="9" t="n">
        <v>45</v>
      </c>
      <c r="D34" s="9" t="n">
        <v>52</v>
      </c>
      <c r="E34" s="9" t="n">
        <v>65</v>
      </c>
      <c r="F34" s="9" t="n">
        <v>80</v>
      </c>
      <c r="G34" s="9" t="n">
        <v>95</v>
      </c>
      <c r="H34" s="22" t="inlineStr"/>
    </row>
    <row r="35">
      <c r="A35" s="8" t="inlineStr">
        <is>
          <t xml:space="preserve">  D&amp;A (% of Revenue)</t>
        </is>
      </c>
      <c r="B35" s="21" t="inlineStr">
        <is>
          <t>—</t>
        </is>
      </c>
      <c r="C35" s="14" t="n">
        <v>0.03</v>
      </c>
      <c r="D35" s="14" t="n">
        <v>0.03</v>
      </c>
      <c r="E35" s="14" t="n">
        <v>0.03</v>
      </c>
      <c r="F35" s="14" t="n">
        <v>0.03</v>
      </c>
      <c r="G35" s="14" t="n">
        <v>0.03</v>
      </c>
      <c r="H35" s="22" t="inlineStr"/>
    </row>
    <row r="36">
      <c r="A36" s="8" t="inlineStr">
        <is>
          <t xml:space="preserve">  CapEx (% of Revenue)</t>
        </is>
      </c>
      <c r="B36" s="21" t="inlineStr">
        <is>
          <t>—</t>
        </is>
      </c>
      <c r="C36" s="14" t="n">
        <v>0.05</v>
      </c>
      <c r="D36" s="14" t="n">
        <v>0.05</v>
      </c>
      <c r="E36" s="14" t="n">
        <v>0.05</v>
      </c>
      <c r="F36" s="14" t="n">
        <v>0.05</v>
      </c>
      <c r="G36" s="14" t="n">
        <v>0.05</v>
      </c>
      <c r="H36" s="22" t="inlineStr"/>
    </row>
    <row r="37">
      <c r="A37" s="8" t="inlineStr">
        <is>
          <t xml:space="preserve">  Δ NWC (% of Δ Revenue)</t>
        </is>
      </c>
      <c r="B37" s="21" t="inlineStr">
        <is>
          <t>—</t>
        </is>
      </c>
      <c r="C37" s="14" t="n">
        <v>0.03</v>
      </c>
      <c r="D37" s="14" t="n">
        <v>0.03</v>
      </c>
      <c r="E37" s="14" t="n">
        <v>0.03</v>
      </c>
      <c r="F37" s="14" t="n">
        <v>0.03</v>
      </c>
      <c r="G37" s="14" t="n">
        <v>0.03</v>
      </c>
      <c r="H37" s="22" t="inlineStr"/>
    </row>
    <row r="38">
      <c r="A38" s="19" t="inlineStr">
        <is>
          <t>Bull Case Assumptions (Selector = 3)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8" t="inlineStr">
        <is>
          <t xml:space="preserve">  Revenue Growth (%)</t>
        </is>
      </c>
      <c r="B39" s="21" t="inlineStr">
        <is>
          <t>—</t>
        </is>
      </c>
      <c r="C39" s="14" t="n">
        <v>0.522</v>
      </c>
      <c r="D39" s="14" t="n">
        <v>0.846</v>
      </c>
      <c r="E39" s="14" t="n">
        <v>1.083</v>
      </c>
      <c r="F39" s="14" t="n">
        <v>0.92</v>
      </c>
      <c r="G39" s="14" t="n">
        <v>0.667</v>
      </c>
      <c r="H39" s="14" t="n">
        <v>0.035</v>
      </c>
    </row>
    <row r="40">
      <c r="A40" s="8" t="inlineStr">
        <is>
          <t xml:space="preserve">  Gross Margin (%)</t>
        </is>
      </c>
      <c r="B40" s="21" t="inlineStr">
        <is>
          <t>—</t>
        </is>
      </c>
      <c r="C40" s="14" t="n">
        <v>0.84</v>
      </c>
      <c r="D40" s="14" t="n">
        <v>0.85</v>
      </c>
      <c r="E40" s="14" t="n">
        <v>0.86</v>
      </c>
      <c r="F40" s="14" t="n">
        <v>0.87</v>
      </c>
      <c r="G40" s="14" t="n">
        <v>0.88</v>
      </c>
      <c r="H40" s="15" t="n">
        <v>0.135</v>
      </c>
    </row>
    <row r="41">
      <c r="A41" s="8" t="inlineStr">
        <is>
          <t xml:space="preserve">  R&amp;D Expenses ($M)</t>
        </is>
      </c>
      <c r="B41" s="21" t="inlineStr">
        <is>
          <t>—</t>
        </is>
      </c>
      <c r="C41" s="9" t="n">
        <v>195</v>
      </c>
      <c r="D41" s="9" t="n">
        <v>215</v>
      </c>
      <c r="E41" s="9" t="n">
        <v>235</v>
      </c>
      <c r="F41" s="9" t="n">
        <v>255</v>
      </c>
      <c r="G41" s="9" t="n">
        <v>275</v>
      </c>
      <c r="H41" s="22" t="inlineStr"/>
    </row>
    <row r="42">
      <c r="A42" s="8" t="inlineStr">
        <is>
          <t xml:space="preserve">  SG&amp;A Expenses ($M)</t>
        </is>
      </c>
      <c r="B42" s="21" t="inlineStr">
        <is>
          <t>—</t>
        </is>
      </c>
      <c r="C42" s="9" t="n">
        <v>45</v>
      </c>
      <c r="D42" s="9" t="n">
        <v>55</v>
      </c>
      <c r="E42" s="9" t="n">
        <v>75</v>
      </c>
      <c r="F42" s="9" t="n">
        <v>95</v>
      </c>
      <c r="G42" s="9" t="n">
        <v>115</v>
      </c>
      <c r="H42" s="22" t="inlineStr"/>
    </row>
    <row r="43">
      <c r="A43" s="8" t="inlineStr">
        <is>
          <t xml:space="preserve">  D&amp;A (% of Revenue)</t>
        </is>
      </c>
      <c r="B43" s="21" t="inlineStr">
        <is>
          <t>—</t>
        </is>
      </c>
      <c r="C43" s="14" t="n">
        <v>0.03</v>
      </c>
      <c r="D43" s="14" t="n">
        <v>0.03</v>
      </c>
      <c r="E43" s="14" t="n">
        <v>0.03</v>
      </c>
      <c r="F43" s="14" t="n">
        <v>0.03</v>
      </c>
      <c r="G43" s="14" t="n">
        <v>0.03</v>
      </c>
      <c r="H43" s="22" t="inlineStr"/>
    </row>
    <row r="44">
      <c r="A44" s="8" t="inlineStr">
        <is>
          <t xml:space="preserve">  CapEx (% of Revenue)</t>
        </is>
      </c>
      <c r="B44" s="21" t="inlineStr">
        <is>
          <t>—</t>
        </is>
      </c>
      <c r="C44" s="14" t="n">
        <v>0.05</v>
      </c>
      <c r="D44" s="14" t="n">
        <v>0.05</v>
      </c>
      <c r="E44" s="14" t="n">
        <v>0.05</v>
      </c>
      <c r="F44" s="14" t="n">
        <v>0.05</v>
      </c>
      <c r="G44" s="14" t="n">
        <v>0.05</v>
      </c>
      <c r="H44" s="22" t="inlineStr"/>
    </row>
    <row r="45">
      <c r="A45" s="8" t="inlineStr">
        <is>
          <t xml:space="preserve">  Δ NWC (% of Δ Revenue)</t>
        </is>
      </c>
      <c r="B45" s="21" t="inlineStr">
        <is>
          <t>—</t>
        </is>
      </c>
      <c r="C45" s="14" t="n">
        <v>0.03</v>
      </c>
      <c r="D45" s="14" t="n">
        <v>0.03</v>
      </c>
      <c r="E45" s="14" t="n">
        <v>0.03</v>
      </c>
      <c r="F45" s="14" t="n">
        <v>0.03</v>
      </c>
      <c r="G45" s="14" t="n">
        <v>0.03</v>
      </c>
      <c r="H45" s="22" t="inlineStr"/>
    </row>
    <row r="46">
      <c r="A46" s="23" t="inlineStr">
        <is>
          <t>Active Scenario Consolidated Drivers (Dynamic)</t>
        </is>
      </c>
      <c r="B46" s="24" t="n"/>
      <c r="C46" s="24" t="n"/>
      <c r="D46" s="24" t="n"/>
      <c r="E46" s="24" t="n"/>
      <c r="F46" s="24" t="n"/>
      <c r="G46" s="24" t="n"/>
      <c r="H46" s="24" t="n"/>
    </row>
    <row r="47">
      <c r="A47" s="11" t="inlineStr">
        <is>
          <t xml:space="preserve">  Active Revenue Growth (%)</t>
        </is>
      </c>
      <c r="B47" s="21" t="inlineStr">
        <is>
          <t>—</t>
        </is>
      </c>
      <c r="C47" s="25">
        <f>CHOOSE($B$4, C23, C31, C39)</f>
        <v/>
      </c>
      <c r="D47" s="25">
        <f>CHOOSE($B$4, D23, D31, D39)</f>
        <v/>
      </c>
      <c r="E47" s="25">
        <f>CHOOSE($B$4, E23, E31, E39)</f>
        <v/>
      </c>
      <c r="F47" s="25">
        <f>CHOOSE($B$4, F23, F31, F39)</f>
        <v/>
      </c>
      <c r="G47" s="25">
        <f>CHOOSE($B$4, G23, G31, G39)</f>
        <v/>
      </c>
      <c r="H47" s="25">
        <f>CHOOSE($B$4, H23, H31, H39)</f>
        <v/>
      </c>
    </row>
    <row r="48">
      <c r="A48" s="11" t="inlineStr">
        <is>
          <t xml:space="preserve">  Active Gross Margin (%)</t>
        </is>
      </c>
      <c r="B48" s="21" t="inlineStr">
        <is>
          <t>—</t>
        </is>
      </c>
      <c r="C48" s="25">
        <f>CHOOSE($B$4, C24, C32, C40)</f>
        <v/>
      </c>
      <c r="D48" s="25">
        <f>CHOOSE($B$4, D24, D32, D40)</f>
        <v/>
      </c>
      <c r="E48" s="25">
        <f>CHOOSE($B$4, E24, E32, E40)</f>
        <v/>
      </c>
      <c r="F48" s="25">
        <f>CHOOSE($B$4, F24, F32, F40)</f>
        <v/>
      </c>
      <c r="G48" s="25">
        <f>CHOOSE($B$4, G24, G32, G40)</f>
        <v/>
      </c>
      <c r="H48" s="26">
        <f>CHOOSE($B$4, H24, H32, H40)</f>
        <v/>
      </c>
    </row>
    <row r="49">
      <c r="A49" s="11" t="inlineStr">
        <is>
          <t xml:space="preserve">  Active R&amp;D Expenses ($M)</t>
        </is>
      </c>
      <c r="B49" s="21" t="inlineStr">
        <is>
          <t>—</t>
        </is>
      </c>
      <c r="C49" s="12">
        <f>CHOOSE($B$4, C25, C33, C41)</f>
        <v/>
      </c>
      <c r="D49" s="12">
        <f>CHOOSE($B$4, D25, D33, D41)</f>
        <v/>
      </c>
      <c r="E49" s="12">
        <f>CHOOSE($B$4, E25, E33, E41)</f>
        <v/>
      </c>
      <c r="F49" s="12">
        <f>CHOOSE($B$4, F25, F33, F41)</f>
        <v/>
      </c>
      <c r="G49" s="12">
        <f>CHOOSE($B$4, G25, G33, G41)</f>
        <v/>
      </c>
      <c r="H49" s="22" t="inlineStr"/>
    </row>
    <row r="50">
      <c r="A50" s="11" t="inlineStr">
        <is>
          <t xml:space="preserve">  Active SG&amp;A Expenses ($M)</t>
        </is>
      </c>
      <c r="B50" s="21" t="inlineStr">
        <is>
          <t>—</t>
        </is>
      </c>
      <c r="C50" s="12">
        <f>CHOOSE($B$4, C26, C34, C42)</f>
        <v/>
      </c>
      <c r="D50" s="12">
        <f>CHOOSE($B$4, D26, D34, D42)</f>
        <v/>
      </c>
      <c r="E50" s="12">
        <f>CHOOSE($B$4, E26, E34, E42)</f>
        <v/>
      </c>
      <c r="F50" s="12">
        <f>CHOOSE($B$4, F26, F34, F42)</f>
        <v/>
      </c>
      <c r="G50" s="12">
        <f>CHOOSE($B$4, G26, G34, G42)</f>
        <v/>
      </c>
      <c r="H50" s="22" t="inlineStr"/>
    </row>
    <row r="51">
      <c r="A51" s="11" t="inlineStr">
        <is>
          <t xml:space="preserve">  Active D&amp;A (% of Revenue)</t>
        </is>
      </c>
      <c r="B51" s="21" t="inlineStr">
        <is>
          <t>—</t>
        </is>
      </c>
      <c r="C51" s="25">
        <f>CHOOSE($B$4, C27, C35, C43)</f>
        <v/>
      </c>
      <c r="D51" s="25">
        <f>CHOOSE($B$4, D27, D35, D43)</f>
        <v/>
      </c>
      <c r="E51" s="25">
        <f>CHOOSE($B$4, E27, E35, E43)</f>
        <v/>
      </c>
      <c r="F51" s="25">
        <f>CHOOSE($B$4, F27, F35, F43)</f>
        <v/>
      </c>
      <c r="G51" s="25">
        <f>CHOOSE($B$4, G27, G35, G43)</f>
        <v/>
      </c>
      <c r="H51" s="22" t="inlineStr"/>
    </row>
    <row r="52">
      <c r="A52" s="11" t="inlineStr">
        <is>
          <t xml:space="preserve">  Active CapEx (% of Revenue)</t>
        </is>
      </c>
      <c r="B52" s="21" t="inlineStr">
        <is>
          <t>—</t>
        </is>
      </c>
      <c r="C52" s="25">
        <f>CHOOSE($B$4, C28, C36, C44)</f>
        <v/>
      </c>
      <c r="D52" s="25">
        <f>CHOOSE($B$4, D28, D36, D44)</f>
        <v/>
      </c>
      <c r="E52" s="25">
        <f>CHOOSE($B$4, E28, E36, E44)</f>
        <v/>
      </c>
      <c r="F52" s="25">
        <f>CHOOSE($B$4, F28, F36, F44)</f>
        <v/>
      </c>
      <c r="G52" s="25">
        <f>CHOOSE($B$4, G28, G36, G44)</f>
        <v/>
      </c>
      <c r="H52" s="22" t="inlineStr"/>
    </row>
    <row r="53">
      <c r="A53" s="11" t="inlineStr">
        <is>
          <t xml:space="preserve">  Active Δ NWC (% of Δ Rev)</t>
        </is>
      </c>
      <c r="B53" s="21" t="inlineStr">
        <is>
          <t>—</t>
        </is>
      </c>
      <c r="C53" s="25">
        <f>CHOOSE($B$4, C29, C37, C45)</f>
        <v/>
      </c>
      <c r="D53" s="25">
        <f>CHOOSE($B$4, D29, D37, D45)</f>
        <v/>
      </c>
      <c r="E53" s="25">
        <f>CHOOSE($B$4, E29, E37, E45)</f>
        <v/>
      </c>
      <c r="F53" s="25">
        <f>CHOOSE($B$4, F29, F37, F45)</f>
        <v/>
      </c>
      <c r="G53" s="25">
        <f>CHOOSE($B$4, G29, G37, G45)</f>
        <v/>
      </c>
      <c r="H53" s="22" t="inlineStr"/>
    </row>
    <row r="56">
      <c r="A56" s="6" t="inlineStr">
        <is>
          <t>III. COST OF CAPITAL (WACC) PARAMETERS &amp; SCHEDULE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8" t="inlineStr">
        <is>
          <t>Risk-Free Rate (Rf)</t>
        </is>
      </c>
      <c r="B57" s="15">
        <f>$B$15</f>
        <v/>
      </c>
    </row>
    <row r="58">
      <c r="A58" s="8" t="inlineStr">
        <is>
          <t>Equity Beta (β)</t>
        </is>
      </c>
      <c r="B58" s="16">
        <f>$B$16</f>
        <v/>
      </c>
    </row>
    <row r="59">
      <c r="A59" s="8" t="inlineStr">
        <is>
          <t>Equity Risk Premium (ERP)</t>
        </is>
      </c>
      <c r="B59" s="15">
        <f>$B$17</f>
        <v/>
      </c>
    </row>
    <row r="60">
      <c r="A60" s="23" t="inlineStr">
        <is>
          <t>Cost of Equity (Ke) [Rf + β * ERP]</t>
        </is>
      </c>
      <c r="B60" s="27">
        <f>B57+B58*B59</f>
        <v/>
      </c>
    </row>
    <row r="61">
      <c r="A61" s="8" t="inlineStr">
        <is>
          <t>Pre-Tax Cost of Debt (Kd)</t>
        </is>
      </c>
      <c r="B61" s="15">
        <f>$B$18</f>
        <v/>
      </c>
    </row>
    <row r="62">
      <c r="A62" s="8" t="inlineStr">
        <is>
          <t>Effective Corporate Tax Rate (t)</t>
        </is>
      </c>
      <c r="B62" s="14">
        <f>$B$14</f>
        <v/>
      </c>
    </row>
    <row r="63">
      <c r="A63" s="8" t="inlineStr">
        <is>
          <t>After-Tax Cost of Debt [Kd * (1 - t)]</t>
        </is>
      </c>
      <c r="B63" s="15">
        <f>B61*(1-B62)</f>
        <v/>
      </c>
    </row>
    <row r="64">
      <c r="A64" s="8" t="inlineStr">
        <is>
          <t>Market Capitalization (Equity Value) ($M)</t>
        </is>
      </c>
      <c r="B64" s="9">
        <f>$B$9</f>
        <v/>
      </c>
    </row>
    <row r="65">
      <c r="A65" s="8" t="inlineStr">
        <is>
          <t>Total Debt ($M)</t>
        </is>
      </c>
      <c r="B65" s="9">
        <f>$B$11</f>
        <v/>
      </c>
    </row>
    <row r="66">
      <c r="A66" s="8" t="inlineStr">
        <is>
          <t>Cash and Cash Equivalents ($M)</t>
        </is>
      </c>
      <c r="B66" s="9">
        <f>$B$10</f>
        <v/>
      </c>
    </row>
    <row r="67">
      <c r="A67" s="8" t="inlineStr">
        <is>
          <t>Net Debt ($M)</t>
        </is>
      </c>
      <c r="B67" s="28">
        <f>B65-B66</f>
        <v/>
      </c>
    </row>
    <row r="68">
      <c r="A68" s="8" t="inlineStr">
        <is>
          <t>Enterprise Value (EV) ($M)</t>
        </is>
      </c>
      <c r="B68" s="9">
        <f>B64+B67</f>
        <v/>
      </c>
    </row>
    <row r="69">
      <c r="A69" s="23" t="inlineStr">
        <is>
          <t>Selected DCF Discount Rate (WACC)</t>
        </is>
      </c>
      <c r="B69" s="27">
        <f>$H$48</f>
        <v/>
      </c>
    </row>
    <row r="72">
      <c r="A72" s="6" t="inlineStr">
        <is>
          <t>IV. UNLEVERED FREE CASH FLOW (UFCF) PROJECTIONS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17" t="inlineStr">
        <is>
          <t>Line Item ($M)</t>
        </is>
      </c>
      <c r="B73" s="18" t="inlineStr">
        <is>
          <t>FY2025A</t>
        </is>
      </c>
      <c r="C73" s="18" t="inlineStr">
        <is>
          <t>FY2026E</t>
        </is>
      </c>
      <c r="D73" s="18" t="inlineStr">
        <is>
          <t>FY2027E</t>
        </is>
      </c>
      <c r="E73" s="18" t="inlineStr">
        <is>
          <t>FY2028E</t>
        </is>
      </c>
      <c r="F73" s="18" t="inlineStr">
        <is>
          <t>FY2029E</t>
        </is>
      </c>
      <c r="G73" s="18" t="inlineStr">
        <is>
          <t>FY2030E</t>
        </is>
      </c>
    </row>
    <row r="74">
      <c r="A74" s="8" t="inlineStr">
        <is>
          <t>Revenue Growth Rate (%)</t>
        </is>
      </c>
      <c r="B74" s="29" t="n">
        <v>-0.606</v>
      </c>
      <c r="C74" s="14">
        <f>C47</f>
        <v/>
      </c>
      <c r="D74" s="14">
        <f>D47</f>
        <v/>
      </c>
      <c r="E74" s="14">
        <f>E47</f>
        <v/>
      </c>
      <c r="F74" s="14">
        <f>F47</f>
        <v/>
      </c>
      <c r="G74" s="14">
        <f>G47</f>
        <v/>
      </c>
    </row>
    <row r="75">
      <c r="A75" s="11" t="inlineStr">
        <is>
          <t>Total Revenue ($M)</t>
        </is>
      </c>
      <c r="B75" s="12" t="n">
        <v>42.7</v>
      </c>
      <c r="C75" s="12">
        <f>B75*(1+C74)</f>
        <v/>
      </c>
      <c r="D75" s="12">
        <f>C75*(1+D74)</f>
        <v/>
      </c>
      <c r="E75" s="12">
        <f>D75*(1+E74)</f>
        <v/>
      </c>
      <c r="F75" s="12">
        <f>E75*(1+F74)</f>
        <v/>
      </c>
      <c r="G75" s="12">
        <f>F75*(1+G74)</f>
        <v/>
      </c>
    </row>
    <row r="76">
      <c r="A76" s="8" t="inlineStr">
        <is>
          <t>Gross Margin (%)</t>
        </is>
      </c>
      <c r="B76" s="14" t="n">
        <v>0.848</v>
      </c>
      <c r="C76" s="14">
        <f>C48</f>
        <v/>
      </c>
      <c r="D76" s="14">
        <f>D48</f>
        <v/>
      </c>
      <c r="E76" s="14">
        <f>E48</f>
        <v/>
      </c>
      <c r="F76" s="14">
        <f>F48</f>
        <v/>
      </c>
      <c r="G76" s="14">
        <f>G48</f>
        <v/>
      </c>
    </row>
    <row r="77">
      <c r="A77" s="11" t="inlineStr">
        <is>
          <t>Gross Profit ($M)</t>
        </is>
      </c>
      <c r="B77" s="12" t="n">
        <v>36.2</v>
      </c>
      <c r="C77" s="12">
        <f>C75*C76</f>
        <v/>
      </c>
      <c r="D77" s="12">
        <f>D75*D76</f>
        <v/>
      </c>
      <c r="E77" s="12">
        <f>E75*E76</f>
        <v/>
      </c>
      <c r="F77" s="12">
        <f>F75*F76</f>
        <v/>
      </c>
      <c r="G77" s="12">
        <f>G75*G76</f>
        <v/>
      </c>
    </row>
    <row r="78">
      <c r="A78" s="8" t="inlineStr">
        <is>
          <t>(-) Research &amp; Development (R&amp;D) ($M)</t>
        </is>
      </c>
      <c r="B78" s="30" t="n">
        <v>182.8</v>
      </c>
      <c r="C78" s="30">
        <f>C49</f>
        <v/>
      </c>
      <c r="D78" s="30">
        <f>D49</f>
        <v/>
      </c>
      <c r="E78" s="30">
        <f>E49</f>
        <v/>
      </c>
      <c r="F78" s="30">
        <f>F49</f>
        <v/>
      </c>
      <c r="G78" s="30">
        <f>G49</f>
        <v/>
      </c>
    </row>
    <row r="79">
      <c r="A79" s="8" t="inlineStr">
        <is>
          <t>(-) General &amp; Administrative (SG&amp;A) ($M)</t>
        </is>
      </c>
      <c r="B79" s="30" t="n">
        <v>41.5</v>
      </c>
      <c r="C79" s="30">
        <f>C50</f>
        <v/>
      </c>
      <c r="D79" s="30">
        <f>D50</f>
        <v/>
      </c>
      <c r="E79" s="30">
        <f>E50</f>
        <v/>
      </c>
      <c r="F79" s="30">
        <f>F50</f>
        <v/>
      </c>
      <c r="G79" s="30">
        <f>G50</f>
        <v/>
      </c>
    </row>
    <row r="80">
      <c r="A80" s="11" t="inlineStr">
        <is>
          <t>Operating Income / (Loss) (EBIT) ($M)</t>
        </is>
      </c>
      <c r="B80" s="13" t="n">
        <v>-188.1</v>
      </c>
      <c r="C80" s="13">
        <f>C77-C78-C79</f>
        <v/>
      </c>
      <c r="D80" s="13">
        <f>D77-D78-D79</f>
        <v/>
      </c>
      <c r="E80" s="13">
        <f>E77-E78-E79</f>
        <v/>
      </c>
      <c r="F80" s="13">
        <f>F77-F78-F79</f>
        <v/>
      </c>
      <c r="G80" s="13">
        <f>G77-G78-G79</f>
        <v/>
      </c>
    </row>
    <row r="81">
      <c r="A81" s="8" t="inlineStr">
        <is>
          <t>EBIT Margin (%)</t>
        </is>
      </c>
      <c r="B81" s="31">
        <f>B80/B75</f>
        <v/>
      </c>
      <c r="C81" s="31">
        <f>C80/C75</f>
        <v/>
      </c>
      <c r="D81" s="31">
        <f>D80/D75</f>
        <v/>
      </c>
      <c r="E81" s="31">
        <f>E80/E75</f>
        <v/>
      </c>
      <c r="F81" s="31">
        <f>F80/F75</f>
        <v/>
      </c>
      <c r="G81" s="31">
        <f>G80/G75</f>
        <v/>
      </c>
    </row>
    <row r="82">
      <c r="A82" s="8" t="inlineStr">
        <is>
          <t>(-) Provision for Taxes ($M)</t>
        </is>
      </c>
      <c r="B82" s="30" t="n">
        <v>0</v>
      </c>
      <c r="C82" s="30">
        <f>MAX(0, C80*$B$14)</f>
        <v/>
      </c>
      <c r="D82" s="30">
        <f>MAX(0, D80*$B$14)</f>
        <v/>
      </c>
      <c r="E82" s="30">
        <f>MAX(0, E80*$B$14)</f>
        <v/>
      </c>
      <c r="F82" s="30">
        <f>MAX(0, F80*$B$14)</f>
        <v/>
      </c>
      <c r="G82" s="30">
        <f>MAX(0, G80*$B$14)</f>
        <v/>
      </c>
    </row>
    <row r="83">
      <c r="A83" s="11" t="inlineStr">
        <is>
          <t>Net Operating Profit After Tax (NOPAT) ($M)</t>
        </is>
      </c>
      <c r="B83" s="13" t="n">
        <v>-188.1</v>
      </c>
      <c r="C83" s="13">
        <f>C80-C82</f>
        <v/>
      </c>
      <c r="D83" s="13">
        <f>D80-D82</f>
        <v/>
      </c>
      <c r="E83" s="13">
        <f>E80-E82</f>
        <v/>
      </c>
      <c r="F83" s="13">
        <f>F80-F82</f>
        <v/>
      </c>
      <c r="G83" s="13">
        <f>G80-G82</f>
        <v/>
      </c>
    </row>
    <row r="84">
      <c r="A84" s="8" t="inlineStr">
        <is>
          <t>(+) Depreciation &amp; Amortization (D&amp;A) ($M)</t>
        </is>
      </c>
      <c r="B84" s="9" t="n">
        <v>2.5</v>
      </c>
      <c r="C84" s="9">
        <f>C75*C51</f>
        <v/>
      </c>
      <c r="D84" s="9">
        <f>D75*D51</f>
        <v/>
      </c>
      <c r="E84" s="9">
        <f>E75*E51</f>
        <v/>
      </c>
      <c r="F84" s="9">
        <f>F75*F51</f>
        <v/>
      </c>
      <c r="G84" s="9">
        <f>G75*G51</f>
        <v/>
      </c>
    </row>
    <row r="85">
      <c r="A85" s="8" t="inlineStr">
        <is>
          <t>(-) Capital Expenditures (CapEx) ($M)</t>
        </is>
      </c>
      <c r="B85" s="30" t="n">
        <v>9.199999999999999</v>
      </c>
      <c r="C85" s="30">
        <f>C75*C52</f>
        <v/>
      </c>
      <c r="D85" s="30">
        <f>D75*D52</f>
        <v/>
      </c>
      <c r="E85" s="30">
        <f>E75*E52</f>
        <v/>
      </c>
      <c r="F85" s="30">
        <f>F75*F52</f>
        <v/>
      </c>
      <c r="G85" s="30">
        <f>G75*G52</f>
        <v/>
      </c>
    </row>
    <row r="86">
      <c r="A86" s="8" t="inlineStr">
        <is>
          <t>(-) Change in Net Working Capital (Δ NWC) ($M)</t>
        </is>
      </c>
      <c r="B86" s="30" t="n">
        <v>1</v>
      </c>
      <c r="C86" s="30">
        <f>(C75-B75)*C53</f>
        <v/>
      </c>
      <c r="D86" s="30">
        <f>(D75-C75)*D53</f>
        <v/>
      </c>
      <c r="E86" s="30">
        <f>(E75-D75)*E53</f>
        <v/>
      </c>
      <c r="F86" s="30">
        <f>(F75-E75)*F53</f>
        <v/>
      </c>
      <c r="G86" s="30">
        <f>(G75-F75)*G53</f>
        <v/>
      </c>
    </row>
    <row r="87">
      <c r="A87" s="32" t="inlineStr">
        <is>
          <t>Unlevered Free Cash Flow (UFCF) ($M)</t>
        </is>
      </c>
      <c r="B87" s="33" t="n">
        <v>-195.8</v>
      </c>
      <c r="C87" s="33">
        <f>C83+C84-C85-C86</f>
        <v/>
      </c>
      <c r="D87" s="33">
        <f>D83+D84-D85-D86</f>
        <v/>
      </c>
      <c r="E87" s="33">
        <f>E83+E84-E85-E86</f>
        <v/>
      </c>
      <c r="F87" s="33">
        <f>F83+F84-F85-F86</f>
        <v/>
      </c>
      <c r="G87" s="33">
        <f>G83+G84-G85-G86</f>
        <v/>
      </c>
    </row>
    <row r="89">
      <c r="A89" s="6" t="inlineStr">
        <is>
          <t>V. DISCOUNTING &amp; PRESENT VALUE (MID-YEAR CONVENTION)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17" t="inlineStr">
        <is>
          <t>Discount Parameters</t>
        </is>
      </c>
      <c r="B90" s="17" t="inlineStr"/>
      <c r="C90" s="18" t="inlineStr">
        <is>
          <t>Year 1 (FY26E)</t>
        </is>
      </c>
      <c r="D90" s="18" t="inlineStr">
        <is>
          <t>Year 2 (FY27E)</t>
        </is>
      </c>
      <c r="E90" s="18" t="inlineStr">
        <is>
          <t>Year 3 (FY28E)</t>
        </is>
      </c>
      <c r="F90" s="18" t="inlineStr">
        <is>
          <t>Year 4 (FY29E)</t>
        </is>
      </c>
      <c r="G90" s="18" t="inlineStr">
        <is>
          <t>Year 5 (FY30E)</t>
        </is>
      </c>
    </row>
    <row r="91">
      <c r="A91" s="8" t="inlineStr">
        <is>
          <t>Discount Period (Years - Mid-Year Convention)</t>
        </is>
      </c>
      <c r="B91" s="22" t="inlineStr"/>
      <c r="C91" s="34" t="n">
        <v>0.5</v>
      </c>
      <c r="D91" s="34" t="n">
        <v>1.5</v>
      </c>
      <c r="E91" s="34" t="n">
        <v>2.5</v>
      </c>
      <c r="F91" s="34" t="n">
        <v>3.5</v>
      </c>
      <c r="G91" s="34" t="n">
        <v>4.5</v>
      </c>
    </row>
    <row r="92">
      <c r="A92" s="8" t="inlineStr">
        <is>
          <t>Discount Factor [ 1 / (1 + WACC)^t ]</t>
        </is>
      </c>
      <c r="B92" s="22" t="inlineStr"/>
      <c r="C92" s="35">
        <f>1/(1+$B$69)^C91</f>
        <v/>
      </c>
      <c r="D92" s="35">
        <f>1/(1+$B$69)^D91</f>
        <v/>
      </c>
      <c r="E92" s="35">
        <f>1/(1+$B$69)^E91</f>
        <v/>
      </c>
      <c r="F92" s="35">
        <f>1/(1+$B$69)^F91</f>
        <v/>
      </c>
      <c r="G92" s="35">
        <f>1/(1+$B$69)^G91</f>
        <v/>
      </c>
    </row>
    <row r="93">
      <c r="A93" s="11" t="inlineStr">
        <is>
          <t>Present Value of UFCF ($M)</t>
        </is>
      </c>
      <c r="B93" s="22" t="inlineStr"/>
      <c r="C93" s="13">
        <f>C87*C92</f>
        <v/>
      </c>
      <c r="D93" s="13">
        <f>D87*D92</f>
        <v/>
      </c>
      <c r="E93" s="13">
        <f>E87*E92</f>
        <v/>
      </c>
      <c r="F93" s="13">
        <f>F87*F92</f>
        <v/>
      </c>
      <c r="G93" s="13">
        <f>G87*G92</f>
        <v/>
      </c>
    </row>
    <row r="94">
      <c r="A94" s="36" t="inlineStr">
        <is>
          <t>Cumulative PV of 5-Year Explicit Cash Flows ($M)</t>
        </is>
      </c>
      <c r="B94" s="37">
        <f>SUM(C93:G93)</f>
        <v/>
      </c>
      <c r="C94" s="38" t="n"/>
      <c r="D94" s="38" t="n"/>
      <c r="E94" s="38" t="n"/>
      <c r="F94" s="38" t="n"/>
      <c r="G94" s="38" t="n"/>
    </row>
    <row r="96">
      <c r="A96" s="6" t="inlineStr">
        <is>
          <t>VI. TERMINAL VALUE &amp; VALUATION SUMMARY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19" t="inlineStr">
        <is>
          <t>Terminal Value Assumptions &amp; Calculation: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8" t="inlineStr">
        <is>
          <t xml:space="preserve">  Final Year Projected UFCF (FY2030E) ($M)</t>
        </is>
      </c>
      <c r="B98" s="28">
        <f>G87</f>
        <v/>
      </c>
    </row>
    <row r="99">
      <c r="A99" s="8" t="inlineStr">
        <is>
          <t xml:space="preserve">  Normalized Mature Terminal Cash Flow ($M)</t>
        </is>
      </c>
      <c r="B99" s="9">
        <f>IF(B4=1,40.0,IF(B4=2,110.0,240.0))</f>
        <v/>
      </c>
    </row>
    <row r="100">
      <c r="A100" s="8" t="inlineStr">
        <is>
          <t xml:space="preserve">  Perpetual Terminal Growth Rate (g)</t>
        </is>
      </c>
      <c r="B100" s="14">
        <f>$H$47</f>
        <v/>
      </c>
    </row>
    <row r="101">
      <c r="A101" s="8" t="inlineStr">
        <is>
          <t xml:space="preserve">  WACC (Discount Rate)</t>
        </is>
      </c>
      <c r="B101" s="15">
        <f>$B$69</f>
        <v/>
      </c>
    </row>
    <row r="102">
      <c r="A102" s="8" t="inlineStr">
        <is>
          <t xml:space="preserve">  Terminal Year Cash Flow ($M)</t>
        </is>
      </c>
      <c r="B102" s="9">
        <f>B99*(1+B100)</f>
        <v/>
      </c>
    </row>
    <row r="103">
      <c r="A103" s="8" t="inlineStr">
        <is>
          <t xml:space="preserve">  Terminal Value at FY2030E ($M)</t>
        </is>
      </c>
      <c r="B103" s="9">
        <f>B102/(B101-B100)</f>
        <v/>
      </c>
    </row>
    <row r="104">
      <c r="A104" s="8" t="inlineStr">
        <is>
          <t xml:space="preserve">  PV of Terminal Value ($M)</t>
        </is>
      </c>
      <c r="B104" s="9">
        <f>B103/(1+B101)^4.5</f>
        <v/>
      </c>
    </row>
    <row r="105">
      <c r="A105" s="8" t="inlineStr">
        <is>
          <t xml:space="preserve">  Terminal Value as % of Enterprise Value</t>
        </is>
      </c>
      <c r="B105" s="14">
        <f>B104/B109</f>
        <v/>
      </c>
    </row>
    <row r="106">
      <c r="A106" s="19" t="inlineStr">
        <is>
          <t>Enterprise Value to Equity Value Bridge ($M):</t>
        </is>
      </c>
      <c r="B106" s="20" t="n"/>
      <c r="C106" s="20" t="n"/>
      <c r="D106" s="20" t="n"/>
      <c r="E106" s="20" t="n"/>
      <c r="F106" s="20" t="n"/>
      <c r="G106" s="20" t="n"/>
      <c r="H106" s="20" t="n"/>
    </row>
    <row r="107">
      <c r="A107" s="8" t="inlineStr">
        <is>
          <t xml:space="preserve">  PV of Explicit 5-Year Cash Flows ($M)</t>
        </is>
      </c>
      <c r="B107" s="28">
        <f>B94</f>
        <v/>
      </c>
    </row>
    <row r="108">
      <c r="A108" s="8" t="inlineStr">
        <is>
          <t xml:space="preserve">  (+) PV of Terminal Value ($M)</t>
        </is>
      </c>
      <c r="B108" s="9">
        <f>B104</f>
        <v/>
      </c>
    </row>
    <row r="109">
      <c r="A109" s="23" t="inlineStr">
        <is>
          <t>Enterprise Value (EV) ($M)</t>
        </is>
      </c>
      <c r="B109" s="39">
        <f>B107+B108</f>
        <v/>
      </c>
    </row>
    <row r="110">
      <c r="A110" s="8" t="inlineStr">
        <is>
          <t xml:space="preserve">  (-) Total Debt ($M)</t>
        </is>
      </c>
      <c r="B110" s="30">
        <f>$B$11</f>
        <v/>
      </c>
    </row>
    <row r="111">
      <c r="A111" s="8" t="inlineStr">
        <is>
          <t xml:space="preserve">  (+) Total Cash &amp; Equivalents ($M)</t>
        </is>
      </c>
      <c r="B111" s="9">
        <f>$B$10</f>
        <v/>
      </c>
    </row>
    <row r="112">
      <c r="A112" s="8" t="inlineStr">
        <is>
          <t xml:space="preserve">  (-) Net Debt ($M)</t>
        </is>
      </c>
      <c r="B112" s="28">
        <f>$B$12</f>
        <v/>
      </c>
    </row>
    <row r="113">
      <c r="A113" s="23" t="inlineStr">
        <is>
          <t>Implied Equity Value ($M)</t>
        </is>
      </c>
      <c r="B113" s="40">
        <f>B109-B112</f>
        <v/>
      </c>
    </row>
    <row r="114">
      <c r="A114" s="8" t="inlineStr">
        <is>
          <t xml:space="preserve">  Diluted Shares Outstanding (M)</t>
        </is>
      </c>
      <c r="B114" s="10">
        <f>$B$8</f>
        <v/>
      </c>
    </row>
    <row r="115">
      <c r="A115" s="23" t="inlineStr">
        <is>
          <t>Implied Price per Share ($)</t>
        </is>
      </c>
      <c r="B115" s="40">
        <f>B113/B114</f>
        <v/>
      </c>
    </row>
    <row r="116">
      <c r="A116" s="8" t="inlineStr">
        <is>
          <t>Current Market Share Price ($)</t>
        </is>
      </c>
      <c r="B116" s="9">
        <f>$B$7</f>
        <v/>
      </c>
    </row>
    <row r="117">
      <c r="A117" s="23" t="inlineStr">
        <is>
          <t>Implied Upside / (Downside) (%)</t>
        </is>
      </c>
      <c r="B117" s="41">
        <f>(B115/B116)-1</f>
        <v/>
      </c>
    </row>
    <row r="120">
      <c r="A120" s="6" t="inlineStr">
        <is>
          <t>VII. SENSITIVITY ANALYSIS (5x5 INSTITUTIONAL VALUATION GRIDS)</t>
        </is>
      </c>
      <c r="B120" s="7" t="n"/>
      <c r="C120" s="7" t="n"/>
      <c r="D120" s="7" t="n"/>
      <c r="E120" s="7" t="n"/>
      <c r="F120" s="7" t="n"/>
      <c r="G120" s="7" t="n"/>
      <c r="H120" s="7" t="n"/>
    </row>
    <row r="121">
      <c r="A121" s="42" t="inlineStr">
        <is>
          <t>Sensitivity Table 1: Implied Share Price ($) vs. WACC and Perpetual Terminal Growth Rate (g)</t>
        </is>
      </c>
    </row>
    <row r="122">
      <c r="A122" s="18" t="inlineStr">
        <is>
          <t>WACC \ g</t>
        </is>
      </c>
      <c r="B122" s="43" t="n">
        <v>0.02</v>
      </c>
      <c r="C122" s="43" t="n">
        <v>0.025</v>
      </c>
      <c r="D122" s="44" t="n">
        <v>0.03</v>
      </c>
      <c r="E122" s="43" t="n">
        <v>0.035</v>
      </c>
      <c r="F122" s="43" t="n">
        <v>0.04</v>
      </c>
    </row>
    <row r="123">
      <c r="A123" s="45" t="n">
        <v>0.115</v>
      </c>
      <c r="B123" s="28">
        <f>(($C$87/(1+$A123)^0.5 + $D$87/(1+$A123)^1.5 + $E$87/(1+$A123)^2.5 + $F$87/(1+$A123)^3.5 + $G$87/(1+$A123)^4.5 + ($B$99*(1+B$122)/($A123-B$122))/(1+$A123)^4.5) - $B$12)/$B$8</f>
        <v/>
      </c>
      <c r="C123" s="28">
        <f>(($C$87/(1+$A123)^0.5 + $D$87/(1+$A123)^1.5 + $E$87/(1+$A123)^2.5 + $F$87/(1+$A123)^3.5 + $G$87/(1+$A123)^4.5 + ($B$99*(1+C$122)/($A123-C$122))/(1+$A123)^4.5) - $B$12)/$B$8</f>
        <v/>
      </c>
      <c r="D123" s="28">
        <f>(($C$87/(1+$A123)^0.5 + $D$87/(1+$A123)^1.5 + $E$87/(1+$A123)^2.5 + $F$87/(1+$A123)^3.5 + $G$87/(1+$A123)^4.5 + ($B$99*(1+D$122)/($A123-D$122))/(1+$A123)^4.5) - $B$12)/$B$8</f>
        <v/>
      </c>
      <c r="E123" s="28">
        <f>(($C$87/(1+$A123)^0.5 + $D$87/(1+$A123)^1.5 + $E$87/(1+$A123)^2.5 + $F$87/(1+$A123)^3.5 + $G$87/(1+$A123)^4.5 + ($B$99*(1+E$122)/($A123-E$122))/(1+$A123)^4.5) - $B$12)/$B$8</f>
        <v/>
      </c>
      <c r="F123" s="28">
        <f>(($C$87/(1+$A123)^0.5 + $D$87/(1+$A123)^1.5 + $E$87/(1+$A123)^2.5 + $F$87/(1+$A123)^3.5 + $G$87/(1+$A123)^4.5 + ($B$99*(1+F$122)/($A123-F$122))/(1+$A123)^4.5) - $B$12)/$B$8</f>
        <v/>
      </c>
    </row>
    <row r="124">
      <c r="A124" s="45" t="n">
        <v>0.125</v>
      </c>
      <c r="B124" s="28">
        <f>(($C$87/(1+$A124)^0.5 + $D$87/(1+$A124)^1.5 + $E$87/(1+$A124)^2.5 + $F$87/(1+$A124)^3.5 + $G$87/(1+$A124)^4.5 + ($B$99*(1+B$122)/($A124-B$122))/(1+$A124)^4.5) - $B$12)/$B$8</f>
        <v/>
      </c>
      <c r="C124" s="28">
        <f>(($C$87/(1+$A124)^0.5 + $D$87/(1+$A124)^1.5 + $E$87/(1+$A124)^2.5 + $F$87/(1+$A124)^3.5 + $G$87/(1+$A124)^4.5 + ($B$99*(1+C$122)/($A124-C$122))/(1+$A124)^4.5) - $B$12)/$B$8</f>
        <v/>
      </c>
      <c r="D124" s="28">
        <f>(($C$87/(1+$A124)^0.5 + $D$87/(1+$A124)^1.5 + $E$87/(1+$A124)^2.5 + $F$87/(1+$A124)^3.5 + $G$87/(1+$A124)^4.5 + ($B$99*(1+D$122)/($A124-D$122))/(1+$A124)^4.5) - $B$12)/$B$8</f>
        <v/>
      </c>
      <c r="E124" s="28">
        <f>(($C$87/(1+$A124)^0.5 + $D$87/(1+$A124)^1.5 + $E$87/(1+$A124)^2.5 + $F$87/(1+$A124)^3.5 + $G$87/(1+$A124)^4.5 + ($B$99*(1+E$122)/($A124-E$122))/(1+$A124)^4.5) - $B$12)/$B$8</f>
        <v/>
      </c>
      <c r="F124" s="28">
        <f>(($C$87/(1+$A124)^0.5 + $D$87/(1+$A124)^1.5 + $E$87/(1+$A124)^2.5 + $F$87/(1+$A124)^3.5 + $G$87/(1+$A124)^4.5 + ($B$99*(1+F$122)/($A124-F$122))/(1+$A124)^4.5) - $B$12)/$B$8</f>
        <v/>
      </c>
    </row>
    <row r="125">
      <c r="A125" s="46" t="n">
        <v>0.135</v>
      </c>
      <c r="B125" s="28">
        <f>(($C$87/(1+$A125)^0.5 + $D$87/(1+$A125)^1.5 + $E$87/(1+$A125)^2.5 + $F$87/(1+$A125)^3.5 + $G$87/(1+$A125)^4.5 + ($B$99*(1+B$122)/($A125-B$122))/(1+$A125)^4.5) - $B$12)/$B$8</f>
        <v/>
      </c>
      <c r="C125" s="28">
        <f>(($C$87/(1+$A125)^0.5 + $D$87/(1+$A125)^1.5 + $E$87/(1+$A125)^2.5 + $F$87/(1+$A125)^3.5 + $G$87/(1+$A125)^4.5 + ($B$99*(1+C$122)/($A125-C$122))/(1+$A125)^4.5) - $B$12)/$B$8</f>
        <v/>
      </c>
      <c r="D125" s="39">
        <f>(($C$87/(1+$A125)^0.5 + $D$87/(1+$A125)^1.5 + $E$87/(1+$A125)^2.5 + $F$87/(1+$A125)^3.5 + $G$87/(1+$A125)^4.5 + ($B$99*(1+D$122)/($A125-D$122))/(1+$A125)^4.5) - $B$12)/$B$8</f>
        <v/>
      </c>
      <c r="E125" s="28">
        <f>(($C$87/(1+$A125)^0.5 + $D$87/(1+$A125)^1.5 + $E$87/(1+$A125)^2.5 + $F$87/(1+$A125)^3.5 + $G$87/(1+$A125)^4.5 + ($B$99*(1+E$122)/($A125-E$122))/(1+$A125)^4.5) - $B$12)/$B$8</f>
        <v/>
      </c>
      <c r="F125" s="28">
        <f>(($C$87/(1+$A125)^0.5 + $D$87/(1+$A125)^1.5 + $E$87/(1+$A125)^2.5 + $F$87/(1+$A125)^3.5 + $G$87/(1+$A125)^4.5 + ($B$99*(1+F$122)/($A125-F$122))/(1+$A125)^4.5) - $B$12)/$B$8</f>
        <v/>
      </c>
    </row>
    <row r="126">
      <c r="A126" s="45" t="n">
        <v>0.145</v>
      </c>
      <c r="B126" s="28">
        <f>(($C$87/(1+$A126)^0.5 + $D$87/(1+$A126)^1.5 + $E$87/(1+$A126)^2.5 + $F$87/(1+$A126)^3.5 + $G$87/(1+$A126)^4.5 + ($B$99*(1+B$122)/($A126-B$122))/(1+$A126)^4.5) - $B$12)/$B$8</f>
        <v/>
      </c>
      <c r="C126" s="28">
        <f>(($C$87/(1+$A126)^0.5 + $D$87/(1+$A126)^1.5 + $E$87/(1+$A126)^2.5 + $F$87/(1+$A126)^3.5 + $G$87/(1+$A126)^4.5 + ($B$99*(1+C$122)/($A126-C$122))/(1+$A126)^4.5) - $B$12)/$B$8</f>
        <v/>
      </c>
      <c r="D126" s="28">
        <f>(($C$87/(1+$A126)^0.5 + $D$87/(1+$A126)^1.5 + $E$87/(1+$A126)^2.5 + $F$87/(1+$A126)^3.5 + $G$87/(1+$A126)^4.5 + ($B$99*(1+D$122)/($A126-D$122))/(1+$A126)^4.5) - $B$12)/$B$8</f>
        <v/>
      </c>
      <c r="E126" s="28">
        <f>(($C$87/(1+$A126)^0.5 + $D$87/(1+$A126)^1.5 + $E$87/(1+$A126)^2.5 + $F$87/(1+$A126)^3.5 + $G$87/(1+$A126)^4.5 + ($B$99*(1+E$122)/($A126-E$122))/(1+$A126)^4.5) - $B$12)/$B$8</f>
        <v/>
      </c>
      <c r="F126" s="28">
        <f>(($C$87/(1+$A126)^0.5 + $D$87/(1+$A126)^1.5 + $E$87/(1+$A126)^2.5 + $F$87/(1+$A126)^3.5 + $G$87/(1+$A126)^4.5 + ($B$99*(1+F$122)/($A126-F$122))/(1+$A126)^4.5) - $B$12)/$B$8</f>
        <v/>
      </c>
    </row>
    <row r="127">
      <c r="A127" s="45" t="n">
        <v>0.155</v>
      </c>
      <c r="B127" s="28">
        <f>(($C$87/(1+$A127)^0.5 + $D$87/(1+$A127)^1.5 + $E$87/(1+$A127)^2.5 + $F$87/(1+$A127)^3.5 + $G$87/(1+$A127)^4.5 + ($B$99*(1+B$122)/($A127-B$122))/(1+$A127)^4.5) - $B$12)/$B$8</f>
        <v/>
      </c>
      <c r="C127" s="28">
        <f>(($C$87/(1+$A127)^0.5 + $D$87/(1+$A127)^1.5 + $E$87/(1+$A127)^2.5 + $F$87/(1+$A127)^3.5 + $G$87/(1+$A127)^4.5 + ($B$99*(1+C$122)/($A127-C$122))/(1+$A127)^4.5) - $B$12)/$B$8</f>
        <v/>
      </c>
      <c r="D127" s="28">
        <f>(($C$87/(1+$A127)^0.5 + $D$87/(1+$A127)^1.5 + $E$87/(1+$A127)^2.5 + $F$87/(1+$A127)^3.5 + $G$87/(1+$A127)^4.5 + ($B$99*(1+D$122)/($A127-D$122))/(1+$A127)^4.5) - $B$12)/$B$8</f>
        <v/>
      </c>
      <c r="E127" s="28">
        <f>(($C$87/(1+$A127)^0.5 + $D$87/(1+$A127)^1.5 + $E$87/(1+$A127)^2.5 + $F$87/(1+$A127)^3.5 + $G$87/(1+$A127)^4.5 + ($B$99*(1+E$122)/($A127-E$122))/(1+$A127)^4.5) - $B$12)/$B$8</f>
        <v/>
      </c>
      <c r="F127" s="28">
        <f>(($C$87/(1+$A127)^0.5 + $D$87/(1+$A127)^1.5 + $E$87/(1+$A127)^2.5 + $F$87/(1+$A127)^3.5 + $G$87/(1+$A127)^4.5 + ($B$99*(1+F$122)/($A127-F$122))/(1+$A127)^4.5) - $B$12)/$B$8</f>
        <v/>
      </c>
    </row>
    <row r="130">
      <c r="A130" s="42" t="inlineStr">
        <is>
          <t>Sensitivity Table 2: Implied Share Price ($) vs. Revenue Growth Delta &amp; Normalized Terminal FCF ($M)</t>
        </is>
      </c>
    </row>
    <row r="131">
      <c r="A131" s="18" t="inlineStr">
        <is>
          <t>Term FCF \ Rev Δ</t>
        </is>
      </c>
      <c r="B131" s="47" t="n">
        <v>-0.2</v>
      </c>
      <c r="C131" s="47" t="n">
        <v>-0.1</v>
      </c>
      <c r="D131" s="48" t="n">
        <v>0</v>
      </c>
      <c r="E131" s="47" t="n">
        <v>0.1</v>
      </c>
      <c r="F131" s="47" t="n">
        <v>0.2</v>
      </c>
    </row>
    <row r="132">
      <c r="A132" s="49" t="n">
        <v>70</v>
      </c>
      <c r="B132" s="28">
        <f>((($C$87*(1+B$131))/(1+$B$69)^0.5 + ($D$87*(1+B$131))/(1+$B$69)^1.5 + ($E$87*(1+B$131))/(1+$B$69)^2.5 + ($F$87*(1+B$131))/(1+$B$69)^3.5 + ($G$87*(1+B$131))/(1+$B$69)^4.5 + (($A132*(1+$H$47)/($B$69-$H$47))/(1+$B$69)^4.5)) - $B$12)/$B$8</f>
        <v/>
      </c>
      <c r="C132" s="28">
        <f>((($C$87*(1+C$131))/(1+$B$69)^0.5 + ($D$87*(1+C$131))/(1+$B$69)^1.5 + ($E$87*(1+C$131))/(1+$B$69)^2.5 + ($F$87*(1+C$131))/(1+$B$69)^3.5 + ($G$87*(1+C$131))/(1+$B$69)^4.5 + (($A132*(1+$H$47)/($B$69-$H$47))/(1+$B$69)^4.5)) - $B$12)/$B$8</f>
        <v/>
      </c>
      <c r="D132" s="28">
        <f>((($C$87*(1+D$131))/(1+$B$69)^0.5 + ($D$87*(1+D$131))/(1+$B$69)^1.5 + ($E$87*(1+D$131))/(1+$B$69)^2.5 + ($F$87*(1+D$131))/(1+$B$69)^3.5 + ($G$87*(1+D$131))/(1+$B$69)^4.5 + (($A132*(1+$H$47)/($B$69-$H$47))/(1+$B$69)^4.5)) - $B$12)/$B$8</f>
        <v/>
      </c>
      <c r="E132" s="28">
        <f>((($C$87*(1+E$131))/(1+$B$69)^0.5 + ($D$87*(1+E$131))/(1+$B$69)^1.5 + ($E$87*(1+E$131))/(1+$B$69)^2.5 + ($F$87*(1+E$131))/(1+$B$69)^3.5 + ($G$87*(1+E$131))/(1+$B$69)^4.5 + (($A132*(1+$H$47)/($B$69-$H$47))/(1+$B$69)^4.5)) - $B$12)/$B$8</f>
        <v/>
      </c>
      <c r="F132" s="28">
        <f>((($C$87*(1+F$131))/(1+$B$69)^0.5 + ($D$87*(1+F$131))/(1+$B$69)^1.5 + ($E$87*(1+F$131))/(1+$B$69)^2.5 + ($F$87*(1+F$131))/(1+$B$69)^3.5 + ($G$87*(1+F$131))/(1+$B$69)^4.5 + (($A132*(1+$H$47)/($B$69-$H$47))/(1+$B$69)^4.5)) - $B$12)/$B$8</f>
        <v/>
      </c>
    </row>
    <row r="133">
      <c r="A133" s="49" t="n">
        <v>90</v>
      </c>
      <c r="B133" s="28">
        <f>((($C$87*(1+B$131))/(1+$B$69)^0.5 + ($D$87*(1+B$131))/(1+$B$69)^1.5 + ($E$87*(1+B$131))/(1+$B$69)^2.5 + ($F$87*(1+B$131))/(1+$B$69)^3.5 + ($G$87*(1+B$131))/(1+$B$69)^4.5 + (($A133*(1+$H$47)/($B$69-$H$47))/(1+$B$69)^4.5)) - $B$12)/$B$8</f>
        <v/>
      </c>
      <c r="C133" s="28">
        <f>((($C$87*(1+C$131))/(1+$B$69)^0.5 + ($D$87*(1+C$131))/(1+$B$69)^1.5 + ($E$87*(1+C$131))/(1+$B$69)^2.5 + ($F$87*(1+C$131))/(1+$B$69)^3.5 + ($G$87*(1+C$131))/(1+$B$69)^4.5 + (($A133*(1+$H$47)/($B$69-$H$47))/(1+$B$69)^4.5)) - $B$12)/$B$8</f>
        <v/>
      </c>
      <c r="D133" s="28">
        <f>((($C$87*(1+D$131))/(1+$B$69)^0.5 + ($D$87*(1+D$131))/(1+$B$69)^1.5 + ($E$87*(1+D$131))/(1+$B$69)^2.5 + ($F$87*(1+D$131))/(1+$B$69)^3.5 + ($G$87*(1+D$131))/(1+$B$69)^4.5 + (($A133*(1+$H$47)/($B$69-$H$47))/(1+$B$69)^4.5)) - $B$12)/$B$8</f>
        <v/>
      </c>
      <c r="E133" s="28">
        <f>((($C$87*(1+E$131))/(1+$B$69)^0.5 + ($D$87*(1+E$131))/(1+$B$69)^1.5 + ($E$87*(1+E$131))/(1+$B$69)^2.5 + ($F$87*(1+E$131))/(1+$B$69)^3.5 + ($G$87*(1+E$131))/(1+$B$69)^4.5 + (($A133*(1+$H$47)/($B$69-$H$47))/(1+$B$69)^4.5)) - $B$12)/$B$8</f>
        <v/>
      </c>
      <c r="F133" s="28">
        <f>((($C$87*(1+F$131))/(1+$B$69)^0.5 + ($D$87*(1+F$131))/(1+$B$69)^1.5 + ($E$87*(1+F$131))/(1+$B$69)^2.5 + ($F$87*(1+F$131))/(1+$B$69)^3.5 + ($G$87*(1+F$131))/(1+$B$69)^4.5 + (($A133*(1+$H$47)/($B$69-$H$47))/(1+$B$69)^4.5)) - $B$12)/$B$8</f>
        <v/>
      </c>
    </row>
    <row r="134">
      <c r="A134" s="50" t="n">
        <v>110</v>
      </c>
      <c r="B134" s="28">
        <f>((($C$87*(1+B$131))/(1+$B$69)^0.5 + ($D$87*(1+B$131))/(1+$B$69)^1.5 + ($E$87*(1+B$131))/(1+$B$69)^2.5 + ($F$87*(1+B$131))/(1+$B$69)^3.5 + ($G$87*(1+B$131))/(1+$B$69)^4.5 + (($A134*(1+$H$47)/($B$69-$H$47))/(1+$B$69)^4.5)) - $B$12)/$B$8</f>
        <v/>
      </c>
      <c r="C134" s="28">
        <f>((($C$87*(1+C$131))/(1+$B$69)^0.5 + ($D$87*(1+C$131))/(1+$B$69)^1.5 + ($E$87*(1+C$131))/(1+$B$69)^2.5 + ($F$87*(1+C$131))/(1+$B$69)^3.5 + ($G$87*(1+C$131))/(1+$B$69)^4.5 + (($A134*(1+$H$47)/($B$69-$H$47))/(1+$B$69)^4.5)) - $B$12)/$B$8</f>
        <v/>
      </c>
      <c r="D134" s="39">
        <f>((($C$87*(1+D$131))/(1+$B$69)^0.5 + ($D$87*(1+D$131))/(1+$B$69)^1.5 + ($E$87*(1+D$131))/(1+$B$69)^2.5 + ($F$87*(1+D$131))/(1+$B$69)^3.5 + ($G$87*(1+D$131))/(1+$B$69)^4.5 + (($A134*(1+$H$47)/($B$69-$H$47))/(1+$B$69)^4.5)) - $B$12)/$B$8</f>
        <v/>
      </c>
      <c r="E134" s="28">
        <f>((($C$87*(1+E$131))/(1+$B$69)^0.5 + ($D$87*(1+E$131))/(1+$B$69)^1.5 + ($E$87*(1+E$131))/(1+$B$69)^2.5 + ($F$87*(1+E$131))/(1+$B$69)^3.5 + ($G$87*(1+E$131))/(1+$B$69)^4.5 + (($A134*(1+$H$47)/($B$69-$H$47))/(1+$B$69)^4.5)) - $B$12)/$B$8</f>
        <v/>
      </c>
      <c r="F134" s="28">
        <f>((($C$87*(1+F$131))/(1+$B$69)^0.5 + ($D$87*(1+F$131))/(1+$B$69)^1.5 + ($E$87*(1+F$131))/(1+$B$69)^2.5 + ($F$87*(1+F$131))/(1+$B$69)^3.5 + ($G$87*(1+F$131))/(1+$B$69)^4.5 + (($A134*(1+$H$47)/($B$69-$H$47))/(1+$B$69)^4.5)) - $B$12)/$B$8</f>
        <v/>
      </c>
    </row>
    <row r="135">
      <c r="A135" s="49" t="n">
        <v>130</v>
      </c>
      <c r="B135" s="28">
        <f>((($C$87*(1+B$131))/(1+$B$69)^0.5 + ($D$87*(1+B$131))/(1+$B$69)^1.5 + ($E$87*(1+B$131))/(1+$B$69)^2.5 + ($F$87*(1+B$131))/(1+$B$69)^3.5 + ($G$87*(1+B$131))/(1+$B$69)^4.5 + (($A135*(1+$H$47)/($B$69-$H$47))/(1+$B$69)^4.5)) - $B$12)/$B$8</f>
        <v/>
      </c>
      <c r="C135" s="28">
        <f>((($C$87*(1+C$131))/(1+$B$69)^0.5 + ($D$87*(1+C$131))/(1+$B$69)^1.5 + ($E$87*(1+C$131))/(1+$B$69)^2.5 + ($F$87*(1+C$131))/(1+$B$69)^3.5 + ($G$87*(1+C$131))/(1+$B$69)^4.5 + (($A135*(1+$H$47)/($B$69-$H$47))/(1+$B$69)^4.5)) - $B$12)/$B$8</f>
        <v/>
      </c>
      <c r="D135" s="28">
        <f>((($C$87*(1+D$131))/(1+$B$69)^0.5 + ($D$87*(1+D$131))/(1+$B$69)^1.5 + ($E$87*(1+D$131))/(1+$B$69)^2.5 + ($F$87*(1+D$131))/(1+$B$69)^3.5 + ($G$87*(1+D$131))/(1+$B$69)^4.5 + (($A135*(1+$H$47)/($B$69-$H$47))/(1+$B$69)^4.5)) - $B$12)/$B$8</f>
        <v/>
      </c>
      <c r="E135" s="28">
        <f>((($C$87*(1+E$131))/(1+$B$69)^0.5 + ($D$87*(1+E$131))/(1+$B$69)^1.5 + ($E$87*(1+E$131))/(1+$B$69)^2.5 + ($F$87*(1+E$131))/(1+$B$69)^3.5 + ($G$87*(1+E$131))/(1+$B$69)^4.5 + (($A135*(1+$H$47)/($B$69-$H$47))/(1+$B$69)^4.5)) - $B$12)/$B$8</f>
        <v/>
      </c>
      <c r="F135" s="28">
        <f>((($C$87*(1+F$131))/(1+$B$69)^0.5 + ($D$87*(1+F$131))/(1+$B$69)^1.5 + ($E$87*(1+F$131))/(1+$B$69)^2.5 + ($F$87*(1+F$131))/(1+$B$69)^3.5 + ($G$87*(1+F$131))/(1+$B$69)^4.5 + (($A135*(1+$H$47)/($B$69-$H$47))/(1+$B$69)^4.5)) - $B$12)/$B$8</f>
        <v/>
      </c>
    </row>
    <row r="136">
      <c r="A136" s="49" t="n">
        <v>150</v>
      </c>
      <c r="B136" s="28">
        <f>((($C$87*(1+B$131))/(1+$B$69)^0.5 + ($D$87*(1+B$131))/(1+$B$69)^1.5 + ($E$87*(1+B$131))/(1+$B$69)^2.5 + ($F$87*(1+B$131))/(1+$B$69)^3.5 + ($G$87*(1+B$131))/(1+$B$69)^4.5 + (($A136*(1+$H$47)/($B$69-$H$47))/(1+$B$69)^4.5)) - $B$12)/$B$8</f>
        <v/>
      </c>
      <c r="C136" s="28">
        <f>((($C$87*(1+C$131))/(1+$B$69)^0.5 + ($D$87*(1+C$131))/(1+$B$69)^1.5 + ($E$87*(1+C$131))/(1+$B$69)^2.5 + ($F$87*(1+C$131))/(1+$B$69)^3.5 + ($G$87*(1+C$131))/(1+$B$69)^4.5 + (($A136*(1+$H$47)/($B$69-$H$47))/(1+$B$69)^4.5)) - $B$12)/$B$8</f>
        <v/>
      </c>
      <c r="D136" s="28">
        <f>((($C$87*(1+D$131))/(1+$B$69)^0.5 + ($D$87*(1+D$131))/(1+$B$69)^1.5 + ($E$87*(1+D$131))/(1+$B$69)^2.5 + ($F$87*(1+D$131))/(1+$B$69)^3.5 + ($G$87*(1+D$131))/(1+$B$69)^4.5 + (($A136*(1+$H$47)/($B$69-$H$47))/(1+$B$69)^4.5)) - $B$12)/$B$8</f>
        <v/>
      </c>
      <c r="E136" s="28">
        <f>((($C$87*(1+E$131))/(1+$B$69)^0.5 + ($D$87*(1+E$131))/(1+$B$69)^1.5 + ($E$87*(1+E$131))/(1+$B$69)^2.5 + ($F$87*(1+E$131))/(1+$B$69)^3.5 + ($G$87*(1+E$131))/(1+$B$69)^4.5 + (($A136*(1+$H$47)/($B$69-$H$47))/(1+$B$69)^4.5)) - $B$12)/$B$8</f>
        <v/>
      </c>
      <c r="F136" s="28">
        <f>((($C$87*(1+F$131))/(1+$B$69)^0.5 + ($D$87*(1+F$131))/(1+$B$69)^1.5 + ($E$87*(1+F$131))/(1+$B$69)^2.5 + ($F$87*(1+F$131))/(1+$B$69)^3.5 + ($G$87*(1+F$131))/(1+$B$69)^4.5 + (($A136*(1+$H$47)/($B$69-$H$47))/(1+$B$69)^4.5)) - $B$12)/$B$8</f>
        <v/>
      </c>
    </row>
    <row r="139">
      <c r="A139" s="42" t="inlineStr">
        <is>
          <t>Sensitivity Table 3: Implied Share Price ($) vs. Beta &amp; 10-Year Treasury Yield (Risk-Free Rate)</t>
        </is>
      </c>
    </row>
    <row r="140">
      <c r="A140" s="18" t="inlineStr">
        <is>
          <t>Beta \ Risk-Free Rate</t>
        </is>
      </c>
      <c r="B140" s="51" t="n">
        <v>0.0369</v>
      </c>
      <c r="C140" s="51" t="n">
        <v>0.0419</v>
      </c>
      <c r="D140" s="52" t="n">
        <v>0.0469</v>
      </c>
      <c r="E140" s="51" t="n">
        <v>0.0519</v>
      </c>
      <c r="F140" s="51" t="n">
        <v>0.0569</v>
      </c>
    </row>
    <row r="141">
      <c r="A141" s="53" t="n">
        <v>1.29</v>
      </c>
      <c r="B141" s="28">
        <f>(($C$87/(1+(B$140 + $A141*0.055))^0.5 + $D$87/(1+(B$140 + $A141*0.055))^1.5 + $E$87/(1+(B$140 + $A141*0.055))^2.5 + $F$87/(1+(B$140 + $A141*0.055))^3.5 + $G$87/(1+(B$140 + $A141*0.055))^4.5 + ($B$99*(1+$H$47)/((B$140 + $A141*0.055)-$H$47))/(1+(B$140 + $A141*0.055))^4.5) - $B$12)/$B$8</f>
        <v/>
      </c>
      <c r="C141" s="28">
        <f>(($C$87/(1+(C$140 + $A141*0.055))^0.5 + $D$87/(1+(C$140 + $A141*0.055))^1.5 + $E$87/(1+(C$140 + $A141*0.055))^2.5 + $F$87/(1+(C$140 + $A141*0.055))^3.5 + $G$87/(1+(C$140 + $A141*0.055))^4.5 + ($B$99*(1+$H$47)/((C$140 + $A141*0.055)-$H$47))/(1+(C$140 + $A141*0.055))^4.5) - $B$12)/$B$8</f>
        <v/>
      </c>
      <c r="D141" s="28">
        <f>(($C$87/(1+(D$140 + $A141*0.055))^0.5 + $D$87/(1+(D$140 + $A141*0.055))^1.5 + $E$87/(1+(D$140 + $A141*0.055))^2.5 + $F$87/(1+(D$140 + $A141*0.055))^3.5 + $G$87/(1+(D$140 + $A141*0.055))^4.5 + ($B$99*(1+$H$47)/((D$140 + $A141*0.055)-$H$47))/(1+(D$140 + $A141*0.055))^4.5) - $B$12)/$B$8</f>
        <v/>
      </c>
      <c r="E141" s="28">
        <f>(($C$87/(1+(E$140 + $A141*0.055))^0.5 + $D$87/(1+(E$140 + $A141*0.055))^1.5 + $E$87/(1+(E$140 + $A141*0.055))^2.5 + $F$87/(1+(E$140 + $A141*0.055))^3.5 + $G$87/(1+(E$140 + $A141*0.055))^4.5 + ($B$99*(1+$H$47)/((E$140 + $A141*0.055)-$H$47))/(1+(E$140 + $A141*0.055))^4.5) - $B$12)/$B$8</f>
        <v/>
      </c>
      <c r="F141" s="28">
        <f>(($C$87/(1+(F$140 + $A141*0.055))^0.5 + $D$87/(1+(F$140 + $A141*0.055))^1.5 + $E$87/(1+(F$140 + $A141*0.055))^2.5 + $F$87/(1+(F$140 + $A141*0.055))^3.5 + $G$87/(1+(F$140 + $A141*0.055))^4.5 + ($B$99*(1+$H$47)/((F$140 + $A141*0.055)-$H$47))/(1+(F$140 + $A141*0.055))^4.5) - $B$12)/$B$8</f>
        <v/>
      </c>
    </row>
    <row r="142">
      <c r="A142" s="53" t="n">
        <v>1.49</v>
      </c>
      <c r="B142" s="28">
        <f>(($C$87/(1+(B$140 + $A142*0.055))^0.5 + $D$87/(1+(B$140 + $A142*0.055))^1.5 + $E$87/(1+(B$140 + $A142*0.055))^2.5 + $F$87/(1+(B$140 + $A142*0.055))^3.5 + $G$87/(1+(B$140 + $A142*0.055))^4.5 + ($B$99*(1+$H$47)/((B$140 + $A142*0.055)-$H$47))/(1+(B$140 + $A142*0.055))^4.5) - $B$12)/$B$8</f>
        <v/>
      </c>
      <c r="C142" s="28">
        <f>(($C$87/(1+(C$140 + $A142*0.055))^0.5 + $D$87/(1+(C$140 + $A142*0.055))^1.5 + $E$87/(1+(C$140 + $A142*0.055))^2.5 + $F$87/(1+(C$140 + $A142*0.055))^3.5 + $G$87/(1+(C$140 + $A142*0.055))^4.5 + ($B$99*(1+$H$47)/((C$140 + $A142*0.055)-$H$47))/(1+(C$140 + $A142*0.055))^4.5) - $B$12)/$B$8</f>
        <v/>
      </c>
      <c r="D142" s="28">
        <f>(($C$87/(1+(D$140 + $A142*0.055))^0.5 + $D$87/(1+(D$140 + $A142*0.055))^1.5 + $E$87/(1+(D$140 + $A142*0.055))^2.5 + $F$87/(1+(D$140 + $A142*0.055))^3.5 + $G$87/(1+(D$140 + $A142*0.055))^4.5 + ($B$99*(1+$H$47)/((D$140 + $A142*0.055)-$H$47))/(1+(D$140 + $A142*0.055))^4.5) - $B$12)/$B$8</f>
        <v/>
      </c>
      <c r="E142" s="28">
        <f>(($C$87/(1+(E$140 + $A142*0.055))^0.5 + $D$87/(1+(E$140 + $A142*0.055))^1.5 + $E$87/(1+(E$140 + $A142*0.055))^2.5 + $F$87/(1+(E$140 + $A142*0.055))^3.5 + $G$87/(1+(E$140 + $A142*0.055))^4.5 + ($B$99*(1+$H$47)/((E$140 + $A142*0.055)-$H$47))/(1+(E$140 + $A142*0.055))^4.5) - $B$12)/$B$8</f>
        <v/>
      </c>
      <c r="F142" s="28">
        <f>(($C$87/(1+(F$140 + $A142*0.055))^0.5 + $D$87/(1+(F$140 + $A142*0.055))^1.5 + $E$87/(1+(F$140 + $A142*0.055))^2.5 + $F$87/(1+(F$140 + $A142*0.055))^3.5 + $G$87/(1+(F$140 + $A142*0.055))^4.5 + ($B$99*(1+$H$47)/((F$140 + $A142*0.055)-$H$47))/(1+(F$140 + $A142*0.055))^4.5) - $B$12)/$B$8</f>
        <v/>
      </c>
    </row>
    <row r="143">
      <c r="A143" s="54" t="n">
        <v>1.69</v>
      </c>
      <c r="B143" s="28">
        <f>(($C$87/(1+(B$140 + $A143*0.055))^0.5 + $D$87/(1+(B$140 + $A143*0.055))^1.5 + $E$87/(1+(B$140 + $A143*0.055))^2.5 + $F$87/(1+(B$140 + $A143*0.055))^3.5 + $G$87/(1+(B$140 + $A143*0.055))^4.5 + ($B$99*(1+$H$47)/((B$140 + $A143*0.055)-$H$47))/(1+(B$140 + $A143*0.055))^4.5) - $B$12)/$B$8</f>
        <v/>
      </c>
      <c r="C143" s="28">
        <f>(($C$87/(1+(C$140 + $A143*0.055))^0.5 + $D$87/(1+(C$140 + $A143*0.055))^1.5 + $E$87/(1+(C$140 + $A143*0.055))^2.5 + $F$87/(1+(C$140 + $A143*0.055))^3.5 + $G$87/(1+(C$140 + $A143*0.055))^4.5 + ($B$99*(1+$H$47)/((C$140 + $A143*0.055)-$H$47))/(1+(C$140 + $A143*0.055))^4.5) - $B$12)/$B$8</f>
        <v/>
      </c>
      <c r="D143" s="39">
        <f>(($C$87/(1+(D$140 + $A143*0.055))^0.5 + $D$87/(1+(D$140 + $A143*0.055))^1.5 + $E$87/(1+(D$140 + $A143*0.055))^2.5 + $F$87/(1+(D$140 + $A143*0.055))^3.5 + $G$87/(1+(D$140 + $A143*0.055))^4.5 + ($B$99*(1+$H$47)/((D$140 + $A143*0.055)-$H$47))/(1+(D$140 + $A143*0.055))^4.5) - $B$12)/$B$8</f>
        <v/>
      </c>
      <c r="E143" s="28">
        <f>(($C$87/(1+(E$140 + $A143*0.055))^0.5 + $D$87/(1+(E$140 + $A143*0.055))^1.5 + $E$87/(1+(E$140 + $A143*0.055))^2.5 + $F$87/(1+(E$140 + $A143*0.055))^3.5 + $G$87/(1+(E$140 + $A143*0.055))^4.5 + ($B$99*(1+$H$47)/((E$140 + $A143*0.055)-$H$47))/(1+(E$140 + $A143*0.055))^4.5) - $B$12)/$B$8</f>
        <v/>
      </c>
      <c r="F143" s="28">
        <f>(($C$87/(1+(F$140 + $A143*0.055))^0.5 + $D$87/(1+(F$140 + $A143*0.055))^1.5 + $E$87/(1+(F$140 + $A143*0.055))^2.5 + $F$87/(1+(F$140 + $A143*0.055))^3.5 + $G$87/(1+(F$140 + $A143*0.055))^4.5 + ($B$99*(1+$H$47)/((F$140 + $A143*0.055)-$H$47))/(1+(F$140 + $A143*0.055))^4.5) - $B$12)/$B$8</f>
        <v/>
      </c>
    </row>
    <row r="144">
      <c r="A144" s="53" t="n">
        <v>1.89</v>
      </c>
      <c r="B144" s="28">
        <f>(($C$87/(1+(B$140 + $A144*0.055))^0.5 + $D$87/(1+(B$140 + $A144*0.055))^1.5 + $E$87/(1+(B$140 + $A144*0.055))^2.5 + $F$87/(1+(B$140 + $A144*0.055))^3.5 + $G$87/(1+(B$140 + $A144*0.055))^4.5 + ($B$99*(1+$H$47)/((B$140 + $A144*0.055)-$H$47))/(1+(B$140 + $A144*0.055))^4.5) - $B$12)/$B$8</f>
        <v/>
      </c>
      <c r="C144" s="28">
        <f>(($C$87/(1+(C$140 + $A144*0.055))^0.5 + $D$87/(1+(C$140 + $A144*0.055))^1.5 + $E$87/(1+(C$140 + $A144*0.055))^2.5 + $F$87/(1+(C$140 + $A144*0.055))^3.5 + $G$87/(1+(C$140 + $A144*0.055))^4.5 + ($B$99*(1+$H$47)/((C$140 + $A144*0.055)-$H$47))/(1+(C$140 + $A144*0.055))^4.5) - $B$12)/$B$8</f>
        <v/>
      </c>
      <c r="D144" s="28">
        <f>(($C$87/(1+(D$140 + $A144*0.055))^0.5 + $D$87/(1+(D$140 + $A144*0.055))^1.5 + $E$87/(1+(D$140 + $A144*0.055))^2.5 + $F$87/(1+(D$140 + $A144*0.055))^3.5 + $G$87/(1+(D$140 + $A144*0.055))^4.5 + ($B$99*(1+$H$47)/((D$140 + $A144*0.055)-$H$47))/(1+(D$140 + $A144*0.055))^4.5) - $B$12)/$B$8</f>
        <v/>
      </c>
      <c r="E144" s="28">
        <f>(($C$87/(1+(E$140 + $A144*0.055))^0.5 + $D$87/(1+(E$140 + $A144*0.055))^1.5 + $E$87/(1+(E$140 + $A144*0.055))^2.5 + $F$87/(1+(E$140 + $A144*0.055))^3.5 + $G$87/(1+(E$140 + $A144*0.055))^4.5 + ($B$99*(1+$H$47)/((E$140 + $A144*0.055)-$H$47))/(1+(E$140 + $A144*0.055))^4.5) - $B$12)/$B$8</f>
        <v/>
      </c>
      <c r="F144" s="28">
        <f>(($C$87/(1+(F$140 + $A144*0.055))^0.5 + $D$87/(1+(F$140 + $A144*0.055))^1.5 + $E$87/(1+(F$140 + $A144*0.055))^2.5 + $F$87/(1+(F$140 + $A144*0.055))^3.5 + $G$87/(1+(F$140 + $A144*0.055))^4.5 + ($B$99*(1+$H$47)/((F$140 + $A144*0.055)-$H$47))/(1+(F$140 + $A144*0.055))^4.5) - $B$12)/$B$8</f>
        <v/>
      </c>
    </row>
    <row r="145">
      <c r="A145" s="53" t="n">
        <v>2.09</v>
      </c>
      <c r="B145" s="28">
        <f>(($C$87/(1+(B$140 + $A145*0.055))^0.5 + $D$87/(1+(B$140 + $A145*0.055))^1.5 + $E$87/(1+(B$140 + $A145*0.055))^2.5 + $F$87/(1+(B$140 + $A145*0.055))^3.5 + $G$87/(1+(B$140 + $A145*0.055))^4.5 + ($B$99*(1+$H$47)/((B$140 + $A145*0.055)-$H$47))/(1+(B$140 + $A145*0.055))^4.5) - $B$12)/$B$8</f>
        <v/>
      </c>
      <c r="C145" s="28">
        <f>(($C$87/(1+(C$140 + $A145*0.055))^0.5 + $D$87/(1+(C$140 + $A145*0.055))^1.5 + $E$87/(1+(C$140 + $A145*0.055))^2.5 + $F$87/(1+(C$140 + $A145*0.055))^3.5 + $G$87/(1+(C$140 + $A145*0.055))^4.5 + ($B$99*(1+$H$47)/((C$140 + $A145*0.055)-$H$47))/(1+(C$140 + $A145*0.055))^4.5) - $B$12)/$B$8</f>
        <v/>
      </c>
      <c r="D145" s="28">
        <f>(($C$87/(1+(D$140 + $A145*0.055))^0.5 + $D$87/(1+(D$140 + $A145*0.055))^1.5 + $E$87/(1+(D$140 + $A145*0.055))^2.5 + $F$87/(1+(D$140 + $A145*0.055))^3.5 + $G$87/(1+(D$140 + $A145*0.055))^4.5 + ($B$99*(1+$H$47)/((D$140 + $A145*0.055)-$H$47))/(1+(D$140 + $A145*0.055))^4.5) - $B$12)/$B$8</f>
        <v/>
      </c>
      <c r="E145" s="28">
        <f>(($C$87/(1+(E$140 + $A145*0.055))^0.5 + $D$87/(1+(E$140 + $A145*0.055))^1.5 + $E$87/(1+(E$140 + $A145*0.055))^2.5 + $F$87/(1+(E$140 + $A145*0.055))^3.5 + $G$87/(1+(E$140 + $A145*0.055))^4.5 + ($B$99*(1+$H$47)/((E$140 + $A145*0.055)-$H$47))/(1+(E$140 + $A145*0.055))^4.5) - $B$12)/$B$8</f>
        <v/>
      </c>
      <c r="F145" s="28">
        <f>(($C$87/(1+(F$140 + $A145*0.055))^0.5 + $D$87/(1+(F$140 + $A145*0.055))^1.5 + $E$87/(1+(F$140 + $A145*0.055))^2.5 + $F$87/(1+(F$140 + $A145*0.055))^3.5 + $G$87/(1+(F$140 + $A145*0.055))^4.5 + ($B$99*(1+$H$47)/((F$140 + $A145*0.055)-$H$47))/(1+(F$140 + $A145*0.055))^4.5) - $B$12)/$B$8</f>
        <v/>
      </c>
    </row>
  </sheetData>
  <mergeCells count="17">
    <mergeCell ref="A56:H56"/>
    <mergeCell ref="A106:H106"/>
    <mergeCell ref="A130:H130"/>
    <mergeCell ref="A30:H30"/>
    <mergeCell ref="A120:H120"/>
    <mergeCell ref="A139:H139"/>
    <mergeCell ref="A97:H97"/>
    <mergeCell ref="A20:H20"/>
    <mergeCell ref="A38:H38"/>
    <mergeCell ref="A96:H96"/>
    <mergeCell ref="A72:H72"/>
    <mergeCell ref="C94:G94"/>
    <mergeCell ref="A121:H121"/>
    <mergeCell ref="A46:H46"/>
    <mergeCell ref="A89:H89"/>
    <mergeCell ref="A6:H6"/>
    <mergeCell ref="A22:H2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2026-08-19T10:03:25Z</dcterms:created>
  <dcterms:modified xmlns:dcterms="http://purl.org/dc/terms/" xmlns:xsi="http://www.w3.org/2001/XMLSchema-instance" xsi:type="dcterms:W3CDTF">2026-08-19T10:03:25Z</dcterms:modified>
</cp:coreProperties>
</file>