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;(0.0%);&quot;-&quot;"/>
    <numFmt numFmtId="165" formatCode="$#,##0.00;($#,##0.00);&quot;-&quot;"/>
    <numFmt numFmtId="166" formatCode="#,##0.0"/>
    <numFmt numFmtId="167" formatCode="$#,##0;($#,##0);&quot;-&quot;"/>
    <numFmt numFmtId="168" formatCode="0.0"/>
    <numFmt numFmtId="169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008000"/>
      <sz val="10"/>
    </font>
    <font>
      <name val="Calibri"/>
      <b val="1"/>
      <color rgb="00FFFFFF"/>
      <sz val="13"/>
    </font>
    <font>
      <name val="Calibri"/>
      <b val="1"/>
      <color rgb="000000FF"/>
      <sz val="10"/>
    </font>
    <font>
      <name val="Calibri"/>
      <b val="1"/>
      <color rgb="00008000"/>
      <sz val="10"/>
    </font>
    <font>
      <name val="Calibri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" fontId="9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165" fontId="6" fillId="4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7" fontId="5" fillId="0" borderId="0" applyAlignment="1" pivotButton="0" quotePrefix="0" xfId="0">
      <alignment horizontal="right" vertical="center"/>
    </xf>
    <xf numFmtId="167" fontId="6" fillId="4" borderId="0" applyAlignment="1" pivotButton="0" quotePrefix="0" xfId="0">
      <alignment horizontal="right" vertical="center"/>
    </xf>
    <xf numFmtId="167" fontId="4" fillId="5" borderId="0" applyAlignment="1" pivotButton="0" quotePrefix="0" xfId="0">
      <alignment horizontal="right" vertical="center"/>
    </xf>
    <xf numFmtId="0" fontId="0" fillId="3" borderId="0" pivotButton="0" quotePrefix="0" xfId="0"/>
    <xf numFmtId="164" fontId="6" fillId="4" borderId="0" applyAlignment="1" pivotButton="0" quotePrefix="0" xfId="0">
      <alignment horizontal="right" vertical="center"/>
    </xf>
    <xf numFmtId="164" fontId="10" fillId="5" borderId="0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168" fontId="6" fillId="4" borderId="0" applyAlignment="1" pivotButton="0" quotePrefix="0" xfId="0">
      <alignment horizontal="right" vertical="center"/>
    </xf>
    <xf numFmtId="169" fontId="5" fillId="0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167" fontId="5" fillId="5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5" fontId="4" fillId="5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4" fontId="4" fillId="5" borderId="0" applyAlignment="1" pivotButton="0" quotePrefix="0" xfId="0">
      <alignment horizontal="right" vertical="center"/>
    </xf>
    <xf numFmtId="164" fontId="4" fillId="3" borderId="0" applyAlignment="1" pivotButton="0" quotePrefix="0" xfId="0">
      <alignment horizontal="right" vertical="center"/>
    </xf>
    <xf numFmtId="2" fontId="4" fillId="3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2" fontId="6" fillId="4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Model</author>
  </authors>
  <commentList>
    <comment ref="B5" authorId="0" shapeId="0">
      <text>
        <t>Source: User input. 1=Bear, 2=Base, 3=Bull</t>
      </text>
    </comment>
    <comment ref="B9" authorId="0" shapeId="0">
      <text>
        <t>Source: StockAnalysis.com, NYSE close 2026-08-17</t>
      </text>
    </comment>
    <comment ref="B10" authorId="0" shapeId="0">
      <text>
        <t>Source: StockAnalysis.com TTM diluted shares, Aug 2026</t>
      </text>
    </comment>
    <comment ref="B12" authorId="0" shapeId="0">
      <text>
        <t>Source: StockAnalysis.com balance sheet FY2025A</t>
      </text>
    </comment>
    <comment ref="B13" authorId="0" shapeId="0">
      <text>
        <t>Source: StockAnalysis.com balance sheet FY2025A</t>
      </text>
    </comment>
    <comment ref="B18" authorId="0" shapeId="0">
      <text>
        <t>Source: DCF model assumption, Bear case FY2026</t>
      </text>
    </comment>
    <comment ref="C18" authorId="0" shapeId="0">
      <text>
        <t>Source: DCF model assumption, Bear case FY2027</t>
      </text>
    </comment>
    <comment ref="D18" authorId="0" shapeId="0">
      <text>
        <t>Source: DCF model assumption, Bear case FY2028</t>
      </text>
    </comment>
    <comment ref="E18" authorId="0" shapeId="0">
      <text>
        <t>Source: DCF model assumption, Bear case FY2029</t>
      </text>
    </comment>
    <comment ref="F18" authorId="0" shapeId="0">
      <text>
        <t>Source: DCF model assumption, Bear case FY2030</t>
      </text>
    </comment>
    <comment ref="B19" authorId="0" shapeId="0">
      <text>
        <t>Source: DCF model assumption, Bear case FY2026</t>
      </text>
    </comment>
    <comment ref="C19" authorId="0" shapeId="0">
      <text>
        <t>Source: DCF model assumption, Bear case FY2027</t>
      </text>
    </comment>
    <comment ref="D19" authorId="0" shapeId="0">
      <text>
        <t>Source: DCF model assumption, Bear case FY2028</t>
      </text>
    </comment>
    <comment ref="E19" authorId="0" shapeId="0">
      <text>
        <t>Source: DCF model assumption, Bear case FY2029</t>
      </text>
    </comment>
    <comment ref="F19" authorId="0" shapeId="0">
      <text>
        <t>Source: DCF model assumption, Bear case FY2030</t>
      </text>
    </comment>
    <comment ref="B20" authorId="0" shapeId="0">
      <text>
        <t>Source: DCF model assumption, Bear terminal g</t>
      </text>
    </comment>
    <comment ref="B24" authorId="0" shapeId="0">
      <text>
        <t>Source: DCF model assumption, Base case FY2026</t>
      </text>
    </comment>
    <comment ref="C24" authorId="0" shapeId="0">
      <text>
        <t>Source: DCF model assumption, Base case FY2027</t>
      </text>
    </comment>
    <comment ref="D24" authorId="0" shapeId="0">
      <text>
        <t>Source: DCF model assumption, Base case FY2028</t>
      </text>
    </comment>
    <comment ref="E24" authorId="0" shapeId="0">
      <text>
        <t>Source: DCF model assumption, Base case FY2029</t>
      </text>
    </comment>
    <comment ref="F24" authorId="0" shapeId="0">
      <text>
        <t>Source: DCF model assumption, Base case FY2030</t>
      </text>
    </comment>
    <comment ref="B25" authorId="0" shapeId="0">
      <text>
        <t>Source: DCF model assumption, Base case FY2026</t>
      </text>
    </comment>
    <comment ref="C25" authorId="0" shapeId="0">
      <text>
        <t>Source: DCF model assumption, Base case FY2027</t>
      </text>
    </comment>
    <comment ref="D25" authorId="0" shapeId="0">
      <text>
        <t>Source: DCF model assumption, Base case FY2028</t>
      </text>
    </comment>
    <comment ref="E25" authorId="0" shapeId="0">
      <text>
        <t>Source: DCF model assumption, Base case FY2029</t>
      </text>
    </comment>
    <comment ref="F25" authorId="0" shapeId="0">
      <text>
        <t>Source: DCF model assumption, Base case FY2030</t>
      </text>
    </comment>
    <comment ref="B26" authorId="0" shapeId="0">
      <text>
        <t>Source: DCF model assumption, Base terminal g</t>
      </text>
    </comment>
    <comment ref="B30" authorId="0" shapeId="0">
      <text>
        <t>Source: DCF model assumption, Bull case FY2026</t>
      </text>
    </comment>
    <comment ref="C30" authorId="0" shapeId="0">
      <text>
        <t>Source: DCF model assumption, Bull case FY2027</t>
      </text>
    </comment>
    <comment ref="D30" authorId="0" shapeId="0">
      <text>
        <t>Source: DCF model assumption, Bull case FY2028</t>
      </text>
    </comment>
    <comment ref="E30" authorId="0" shapeId="0">
      <text>
        <t>Source: DCF model assumption, Bull case FY2029</t>
      </text>
    </comment>
    <comment ref="F30" authorId="0" shapeId="0">
      <text>
        <t>Source: DCF model assumption, Bull case FY2030</t>
      </text>
    </comment>
    <comment ref="B31" authorId="0" shapeId="0">
      <text>
        <t>Source: DCF model assumption, Bull case FY2026</t>
      </text>
    </comment>
    <comment ref="C31" authorId="0" shapeId="0">
      <text>
        <t>Source: DCF model assumption, Bull case FY2027</t>
      </text>
    </comment>
    <comment ref="D31" authorId="0" shapeId="0">
      <text>
        <t>Source: DCF model assumption, Bull case FY2028</t>
      </text>
    </comment>
    <comment ref="E31" authorId="0" shapeId="0">
      <text>
        <t>Source: DCF model assumption, Bull case FY2029</t>
      </text>
    </comment>
    <comment ref="F31" authorId="0" shapeId="0">
      <text>
        <t>Source: DCF model assumption, Bull case FY2030</t>
      </text>
    </comment>
    <comment ref="B32" authorId="0" shapeId="0">
      <text>
        <t>Source: DCF model assumption, Bull terminal g</t>
      </text>
    </comment>
    <comment ref="B36" authorId="0" shapeId="0">
      <text>
        <t>Source: Normalised tax rate; FY2022-2025 avg ~25.4%</t>
      </text>
    </comment>
    <comment ref="B37" authorId="0" shapeId="0">
      <text>
        <t>Source: FY2021-2025 D&amp;A avg ~2.9% of revenue; rounded to 3.0%</t>
      </text>
    </comment>
    <comment ref="B38" authorId="0" shapeId="0">
      <text>
        <t>Source: DCF assumption FY2026; FY2025 peak 6.0%, normalising to 4.5%</t>
      </text>
    </comment>
    <comment ref="C38" authorId="0" shapeId="0">
      <text>
        <t>Source: DCF assumption FY2027; FY2025 peak 6.0%, normalising to 4.5%</t>
      </text>
    </comment>
    <comment ref="D38" authorId="0" shapeId="0">
      <text>
        <t>Source: DCF assumption FY2028; FY2025 peak 6.0%, normalising to 4.5%</t>
      </text>
    </comment>
    <comment ref="E38" authorId="0" shapeId="0">
      <text>
        <t>Source: DCF assumption FY2029; FY2025 peak 6.0%, normalising to 4.5%</t>
      </text>
    </comment>
    <comment ref="F38" authorId="0" shapeId="0">
      <text>
        <t>Source: DCF assumption FY2030; FY2025 peak 6.0%, normalising to 4.5%</t>
      </text>
    </comment>
    <comment ref="B39" authorId="0" shapeId="0">
      <text>
        <t>Source: NWC ~40% of revenue; incremental NWC need ~8% of revenue change</t>
      </text>
    </comment>
    <comment ref="B58" authorId="0" shapeId="0">
      <text>
        <t>Source: StockAnalysis.com / S&amp;P Global, FY2021A annual revenue</t>
      </text>
    </comment>
    <comment ref="C58" authorId="0" shapeId="0">
      <text>
        <t>Source: StockAnalysis.com / S&amp;P Global, FY2022A annual revenue</t>
      </text>
    </comment>
    <comment ref="D58" authorId="0" shapeId="0">
      <text>
        <t>Source: StockAnalysis.com / S&amp;P Global, FY2023A annual revenue</t>
      </text>
    </comment>
    <comment ref="E58" authorId="0" shapeId="0">
      <text>
        <t>Source: StockAnalysis.com / S&amp;P Global, FY2024A annual revenue</t>
      </text>
    </comment>
    <comment ref="F58" authorId="0" shapeId="0">
      <text>
        <t>Source: StockAnalysis.com / S&amp;P Global, FY2025A annual revenue</t>
      </text>
    </comment>
    <comment ref="B61" authorId="0" shapeId="0">
      <text>
        <t>Source: StockAnalysis.com / S&amp;P Global, FY2021A</t>
      </text>
    </comment>
    <comment ref="C61" authorId="0" shapeId="0">
      <text>
        <t>Source: StockAnalysis.com / S&amp;P Global, FY2022A</t>
      </text>
    </comment>
    <comment ref="D61" authorId="0" shapeId="0">
      <text>
        <t>Source: StockAnalysis.com / S&amp;P Global, FY2023A</t>
      </text>
    </comment>
    <comment ref="E61" authorId="0" shapeId="0">
      <text>
        <t>Source: StockAnalysis.com / S&amp;P Global, FY2024A</t>
      </text>
    </comment>
    <comment ref="F61" authorId="0" shapeId="0">
      <text>
        <t>Source: StockAnalysis.com / S&amp;P Global, FY2025A</t>
      </text>
    </comment>
    <comment ref="B64" authorId="0" shapeId="0">
      <text>
        <t>Source: StockAnalysis.com / S&amp;P Global, FY2021A</t>
      </text>
    </comment>
    <comment ref="C64" authorId="0" shapeId="0">
      <text>
        <t>Source: StockAnalysis.com / S&amp;P Global, FY2022A</t>
      </text>
    </comment>
    <comment ref="D64" authorId="0" shapeId="0">
      <text>
        <t>Source: StockAnalysis.com / S&amp;P Global, FY2023A</t>
      </text>
    </comment>
    <comment ref="E64" authorId="0" shapeId="0">
      <text>
        <t>Source: StockAnalysis.com / S&amp;P Global, FY2024A</t>
      </text>
    </comment>
    <comment ref="F64" authorId="0" shapeId="0">
      <text>
        <t>Source: StockAnalysis.com / S&amp;P Global, FY2025A</t>
      </text>
    </comment>
    <comment ref="B72" authorId="0" shapeId="0">
      <text>
        <t>Source: StockAnalysis.com cash flow statement, FY2021A</t>
      </text>
    </comment>
    <comment ref="C72" authorId="0" shapeId="0">
      <text>
        <t>Source: StockAnalysis.com cash flow statement, FY2022A</t>
      </text>
    </comment>
    <comment ref="D72" authorId="0" shapeId="0">
      <text>
        <t>Source: StockAnalysis.com cash flow statement, FY2023A</t>
      </text>
    </comment>
    <comment ref="E72" authorId="0" shapeId="0">
      <text>
        <t>Source: StockAnalysis.com cash flow statement, FY2024A</t>
      </text>
    </comment>
    <comment ref="F72" authorId="0" shapeId="0">
      <text>
        <t>Source: StockAnalysis.com cash flow statement, FY2025A</t>
      </text>
    </comment>
    <comment ref="B74" authorId="0" shapeId="0">
      <text>
        <t>Source: StockAnalysis.com cash flow statement, FY2021A</t>
      </text>
    </comment>
    <comment ref="C74" authorId="0" shapeId="0">
      <text>
        <t>Source: StockAnalysis.com cash flow statement, FY2022A</t>
      </text>
    </comment>
    <comment ref="D74" authorId="0" shapeId="0">
      <text>
        <t>Source: StockAnalysis.com cash flow statement, FY2023A</t>
      </text>
    </comment>
    <comment ref="E74" authorId="0" shapeId="0">
      <text>
        <t>Source: StockAnalysis.com cash flow statement, FY2024A</t>
      </text>
    </comment>
    <comment ref="F74" authorId="0" shapeId="0">
      <text>
        <t>Source: StockAnalysis.com cash flow statement, FY2025A</t>
      </text>
    </comment>
    <comment ref="G85" authorId="0" shapeId="0">
      <text>
        <t>Source: Mid-year convention; period = year - 0.5</t>
      </text>
    </comment>
    <comment ref="H85" authorId="0" shapeId="0">
      <text>
        <t>Source: Mid-year convention; period = year - 0.5</t>
      </text>
    </comment>
    <comment ref="I85" authorId="0" shapeId="0">
      <text>
        <t>Source: Mid-year convention; period = year - 0.5</t>
      </text>
    </comment>
    <comment ref="J85" authorId="0" shapeId="0">
      <text>
        <t>Source: Mid-year convention; period = year - 0.5</t>
      </text>
    </comment>
    <comment ref="K85" authorId="0" shapeId="0">
      <text>
        <t>Source: Mid-year convention; period = year - 0.5</t>
      </text>
    </comment>
    <comment ref="L85" authorId="0" shapeId="0">
      <text>
        <t>Source: Terminal value discounted at same period as final FCF year</t>
      </text>
    </comment>
  </commentList>
</comments>
</file>

<file path=xl/comments/comment2.xml><?xml version="1.0" encoding="utf-8"?>
<comments xmlns="http://schemas.openxmlformats.org/spreadsheetml/2006/main">
  <authors>
    <author>DCF Model</author>
  </authors>
  <commentList>
    <comment ref="B6" authorId="0" shapeId="0">
      <text>
        <t>Source: FRED DGS10, 2026-08-11, https://fred.stlouisfed.org/series/DGS10</t>
      </text>
    </comment>
    <comment ref="B7" authorId="0" shapeId="0">
      <text>
        <t>Source: Barchart.com, 2026-08-18, 60-month beta vs S&amp;P 500</t>
      </text>
    </comment>
    <comment ref="B8" authorId="0" shapeId="0">
      <text>
        <t>Source: Damodaran long-run ERP, 5.0% standard</t>
      </text>
    </comment>
    <comment ref="B13" authorId="0" shapeId="0">
      <text>
        <t>Source: Market rate; BBB+ equiv + ~80bps spread over 10Y UST</t>
      </text>
    </comment>
    <comment ref="B14" authorId="0" shapeId="0">
      <text>
        <t>Source: Normalised; FY2022-2025 avg ~25.4%</t>
      </text>
    </comment>
    <comment ref="B19" authorId="0" shapeId="0">
      <text>
        <t>Source: StockAnalysis.com, NYSE close 2026-08-17</t>
      </text>
    </comment>
    <comment ref="B20" authorId="0" shapeId="0">
      <text>
        <t>Source: StockAnalysis.com TTM diluted shares</t>
      </text>
    </comment>
    <comment ref="B22" authorId="0" shapeId="0">
      <text>
        <t>Source: StockAnalysis.com balance sheet FY2025A</t>
      </text>
    </comment>
    <comment ref="B23" authorId="0" shapeId="0">
      <text>
        <t>Source: StockAnalysis.com balance sheet FY2025A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xSplit="1" ySplit="57" topLeftCell="B5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 ht="24" customHeight="1">
      <c r="A1" s="1" t="inlineStr">
        <is>
          <t>Ingredion Incorporated (INGR) — DCF Valuation Model</t>
        </is>
      </c>
    </row>
    <row r="2">
      <c r="A2" s="2" t="inlineStr">
        <is>
          <t>Ticker: INGR  |  Date: 2026-08-18  |  Fiscal Year End: December  |  Currency: USD ($M unless noted)</t>
        </is>
      </c>
    </row>
    <row r="4">
      <c r="A4" s="3" t="inlineStr">
        <is>
          <t>▶  CASE SELECTOR  (1 = Bear  |  2 = Base  |  3 = Bull)</t>
        </is>
      </c>
    </row>
    <row r="5">
      <c r="A5" s="4" t="inlineStr">
        <is>
          <t>Selected Case:</t>
        </is>
      </c>
      <c r="B5" s="5" t="n">
        <v>2</v>
      </c>
      <c r="C5" s="6">
        <f>IF(B5=1,"Bear",IF(B5=2,"Base","Bull"))</f>
        <v/>
      </c>
    </row>
    <row r="7">
      <c r="A7" s="7" t="inlineStr">
        <is>
          <t>MARKET DATA &amp; KEY INPUTS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9" t="n"/>
    </row>
    <row r="8">
      <c r="A8" s="10" t="inlineStr">
        <is>
          <t>Item</t>
        </is>
      </c>
      <c r="B8" s="11" t="inlineStr">
        <is>
          <t>Value</t>
        </is>
      </c>
      <c r="C8" s="12" t="inlineStr">
        <is>
          <t>Notes</t>
        </is>
      </c>
    </row>
    <row r="9">
      <c r="A9" s="13" t="inlineStr">
        <is>
          <t>Current Stock Price</t>
        </is>
      </c>
      <c r="B9" s="14" t="n">
        <v>103.59</v>
      </c>
      <c r="C9" s="2" t="inlineStr">
        <is>
          <t>Source: StockAnalysis.com, NYSE close 2026-08-17</t>
        </is>
      </c>
    </row>
    <row r="10">
      <c r="A10" s="13" t="inlineStr">
        <is>
          <t>Diluted Shares Outstanding (M)</t>
        </is>
      </c>
      <c r="B10" s="15" t="n">
        <v>64</v>
      </c>
      <c r="C10" s="2" t="inlineStr">
        <is>
          <t>Source: StockAnalysis.com TTM diluted shares, Aug 2026</t>
        </is>
      </c>
    </row>
    <row r="11">
      <c r="A11" s="16" t="inlineStr">
        <is>
          <t>Market Capitalisation ($M)</t>
        </is>
      </c>
      <c r="B11" s="17">
        <f>B9*B10</f>
        <v/>
      </c>
      <c r="C11" s="2">
        <f> Price × Diluted Shares</f>
        <v/>
      </c>
    </row>
    <row r="12">
      <c r="A12" s="13" t="inlineStr">
        <is>
          <t>Total Debt ($M)</t>
        </is>
      </c>
      <c r="B12" s="18" t="n">
        <v>1971</v>
      </c>
      <c r="C12" s="2" t="inlineStr">
        <is>
          <t>Source: StockAnalysis.com balance sheet FY2025A</t>
        </is>
      </c>
    </row>
    <row r="13">
      <c r="A13" s="13" t="inlineStr">
        <is>
          <t>Cash &amp; Equivalents ($M)</t>
        </is>
      </c>
      <c r="B13" s="18" t="n">
        <v>1030</v>
      </c>
      <c r="C13" s="2" t="inlineStr">
        <is>
          <t>Source: StockAnalysis.com balance sheet FY2025A</t>
        </is>
      </c>
    </row>
    <row r="14">
      <c r="A14" s="16" t="inlineStr">
        <is>
          <t>Net Debt ($M)</t>
        </is>
      </c>
      <c r="B14" s="19">
        <f>B12-B13</f>
        <v/>
      </c>
      <c r="C14" s="2">
        <f> Total Debt − Cash</f>
        <v/>
      </c>
    </row>
    <row r="16">
      <c r="A16" s="7" t="inlineStr">
        <is>
          <t>BEAR CASE ASSUMPTIONS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9" t="n"/>
    </row>
    <row r="17">
      <c r="A17" s="10" t="inlineStr">
        <is>
          <t>Assumption</t>
        </is>
      </c>
      <c r="B17" s="11" t="inlineStr">
        <is>
          <t>FY2026E</t>
        </is>
      </c>
      <c r="C17" s="11" t="inlineStr">
        <is>
          <t>FY2027E</t>
        </is>
      </c>
      <c r="D17" s="11" t="inlineStr">
        <is>
          <t>FY2028E</t>
        </is>
      </c>
      <c r="E17" s="11" t="inlineStr">
        <is>
          <t>FY2029E</t>
        </is>
      </c>
      <c r="F17" s="11" t="inlineStr">
        <is>
          <t>FY2030E</t>
        </is>
      </c>
      <c r="G17" s="20" t="n"/>
      <c r="H17" s="20" t="n"/>
      <c r="I17" s="20" t="n"/>
      <c r="J17" s="20" t="n"/>
      <c r="K17" s="20" t="n"/>
      <c r="L17" s="20" t="n"/>
    </row>
    <row r="18">
      <c r="A18" s="13" t="inlineStr">
        <is>
          <t>Revenue Growth (%)</t>
        </is>
      </c>
      <c r="B18" s="21" t="n">
        <v>0.01</v>
      </c>
      <c r="C18" s="21" t="n">
        <v>0.01</v>
      </c>
      <c r="D18" s="21" t="n">
        <v>0.02</v>
      </c>
      <c r="E18" s="21" t="n">
        <v>0.02</v>
      </c>
      <c r="F18" s="21" t="n">
        <v>0.02</v>
      </c>
    </row>
    <row r="19">
      <c r="A19" s="13" t="inlineStr">
        <is>
          <t>EBIT Margin (%)</t>
        </is>
      </c>
      <c r="B19" s="21" t="n">
        <v>0.135</v>
      </c>
      <c r="C19" s="21" t="n">
        <v>0.13</v>
      </c>
      <c r="D19" s="21" t="n">
        <v>0.13</v>
      </c>
      <c r="E19" s="21" t="n">
        <v>0.125</v>
      </c>
      <c r="F19" s="21" t="n">
        <v>0.125</v>
      </c>
    </row>
    <row r="20">
      <c r="A20" s="13" t="inlineStr">
        <is>
          <t>Terminal Growth Rate (%)</t>
        </is>
      </c>
      <c r="B20" s="21" t="n">
        <v>0.02</v>
      </c>
    </row>
    <row r="22">
      <c r="A22" s="7" t="inlineStr">
        <is>
          <t>BASE CASE ASSUMPTIONS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9" t="n"/>
    </row>
    <row r="23">
      <c r="A23" s="10" t="inlineStr">
        <is>
          <t>Assumption</t>
        </is>
      </c>
      <c r="B23" s="11" t="inlineStr">
        <is>
          <t>FY2026E</t>
        </is>
      </c>
      <c r="C23" s="11" t="inlineStr">
        <is>
          <t>FY2027E</t>
        </is>
      </c>
      <c r="D23" s="11" t="inlineStr">
        <is>
          <t>FY2028E</t>
        </is>
      </c>
      <c r="E23" s="11" t="inlineStr">
        <is>
          <t>FY2029E</t>
        </is>
      </c>
      <c r="F23" s="11" t="inlineStr">
        <is>
          <t>FY2030E</t>
        </is>
      </c>
      <c r="G23" s="20" t="n"/>
      <c r="H23" s="20" t="n"/>
      <c r="I23" s="20" t="n"/>
      <c r="J23" s="20" t="n"/>
      <c r="K23" s="20" t="n"/>
      <c r="L23" s="20" t="n"/>
    </row>
    <row r="24">
      <c r="A24" s="13" t="inlineStr">
        <is>
          <t>Revenue Growth (%)</t>
        </is>
      </c>
      <c r="B24" s="21" t="n">
        <v>0.02</v>
      </c>
      <c r="C24" s="21" t="n">
        <v>0.03</v>
      </c>
      <c r="D24" s="21" t="n">
        <v>0.04</v>
      </c>
      <c r="E24" s="21" t="n">
        <v>0.03</v>
      </c>
      <c r="F24" s="21" t="n">
        <v>0.03</v>
      </c>
    </row>
    <row r="25">
      <c r="A25" s="13" t="inlineStr">
        <is>
          <t>EBIT Margin (%)</t>
        </is>
      </c>
      <c r="B25" s="21" t="n">
        <v>0.14</v>
      </c>
      <c r="C25" s="21" t="n">
        <v>0.145</v>
      </c>
      <c r="D25" s="21" t="n">
        <v>0.145</v>
      </c>
      <c r="E25" s="21" t="n">
        <v>0.15</v>
      </c>
      <c r="F25" s="21" t="n">
        <v>0.15</v>
      </c>
    </row>
    <row r="26">
      <c r="A26" s="13" t="inlineStr">
        <is>
          <t>Terminal Growth Rate (%)</t>
        </is>
      </c>
      <c r="B26" s="21" t="n">
        <v>0.025</v>
      </c>
    </row>
    <row r="28">
      <c r="A28" s="7" t="inlineStr">
        <is>
          <t>BULL CASE ASSUMPTIONS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9" t="n"/>
    </row>
    <row r="29">
      <c r="A29" s="10" t="inlineStr">
        <is>
          <t>Assumption</t>
        </is>
      </c>
      <c r="B29" s="11" t="inlineStr">
        <is>
          <t>FY2026E</t>
        </is>
      </c>
      <c r="C29" s="11" t="inlineStr">
        <is>
          <t>FY2027E</t>
        </is>
      </c>
      <c r="D29" s="11" t="inlineStr">
        <is>
          <t>FY2028E</t>
        </is>
      </c>
      <c r="E29" s="11" t="inlineStr">
        <is>
          <t>FY2029E</t>
        </is>
      </c>
      <c r="F29" s="11" t="inlineStr">
        <is>
          <t>FY2030E</t>
        </is>
      </c>
      <c r="G29" s="20" t="n"/>
      <c r="H29" s="20" t="n"/>
      <c r="I29" s="20" t="n"/>
      <c r="J29" s="20" t="n"/>
      <c r="K29" s="20" t="n"/>
      <c r="L29" s="20" t="n"/>
    </row>
    <row r="30">
      <c r="A30" s="13" t="inlineStr">
        <is>
          <t>Revenue Growth (%)</t>
        </is>
      </c>
      <c r="B30" s="21" t="n">
        <v>0.04</v>
      </c>
      <c r="C30" s="21" t="n">
        <v>0.05</v>
      </c>
      <c r="D30" s="21" t="n">
        <v>0.06</v>
      </c>
      <c r="E30" s="21" t="n">
        <v>0.05</v>
      </c>
      <c r="F30" s="21" t="n">
        <v>0.04</v>
      </c>
    </row>
    <row r="31">
      <c r="A31" s="13" t="inlineStr">
        <is>
          <t>EBIT Margin (%)</t>
        </is>
      </c>
      <c r="B31" s="21" t="n">
        <v>0.145</v>
      </c>
      <c r="C31" s="21" t="n">
        <v>0.15</v>
      </c>
      <c r="D31" s="21" t="n">
        <v>0.155</v>
      </c>
      <c r="E31" s="21" t="n">
        <v>0.16</v>
      </c>
      <c r="F31" s="21" t="n">
        <v>0.16</v>
      </c>
    </row>
    <row r="32">
      <c r="A32" s="13" t="inlineStr">
        <is>
          <t>Terminal Growth Rate (%)</t>
        </is>
      </c>
      <c r="B32" s="21" t="n">
        <v>0.03</v>
      </c>
    </row>
    <row r="34">
      <c r="A34" s="7" t="inlineStr">
        <is>
          <t>SHARED FCF PARAMETERS (ALL SCENARIOS)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9" t="n"/>
    </row>
    <row r="35">
      <c r="A35" s="10" t="inlineStr">
        <is>
          <t>Assumption</t>
        </is>
      </c>
      <c r="B35" s="11" t="inlineStr">
        <is>
          <t>FY2026E</t>
        </is>
      </c>
      <c r="C35" s="11" t="inlineStr">
        <is>
          <t>FY2027E</t>
        </is>
      </c>
      <c r="D35" s="11" t="inlineStr">
        <is>
          <t>FY2028E</t>
        </is>
      </c>
      <c r="E35" s="11" t="inlineStr">
        <is>
          <t>FY2029E</t>
        </is>
      </c>
      <c r="F35" s="11" t="inlineStr">
        <is>
          <t>FY2030E</t>
        </is>
      </c>
    </row>
    <row r="36">
      <c r="A36" s="13" t="inlineStr">
        <is>
          <t>Tax Rate (%)</t>
        </is>
      </c>
      <c r="B36" s="21" t="n">
        <v>0.25</v>
      </c>
    </row>
    <row r="37">
      <c r="A37" s="13" t="inlineStr">
        <is>
          <t>D&amp;A (% of Revenue)</t>
        </is>
      </c>
      <c r="B37" s="21" t="n">
        <v>0.03</v>
      </c>
    </row>
    <row r="38">
      <c r="A38" s="13" t="inlineStr">
        <is>
          <t>CapEx (% of Revenue)</t>
        </is>
      </c>
      <c r="B38" s="21" t="n">
        <v>0.055</v>
      </c>
      <c r="C38" s="21" t="n">
        <v>0.05</v>
      </c>
      <c r="D38" s="21" t="n">
        <v>0.045</v>
      </c>
      <c r="E38" s="21" t="n">
        <v>0.045</v>
      </c>
      <c r="F38" s="21" t="n">
        <v>0.045</v>
      </c>
    </row>
    <row r="39">
      <c r="A39" s="13" t="inlineStr">
        <is>
          <t>ΔNwc (% of ΔRevenue)</t>
        </is>
      </c>
      <c r="B39" s="21" t="n">
        <v>0.08</v>
      </c>
    </row>
    <row r="40">
      <c r="A40" s="16" t="inlineStr">
        <is>
          <t>WACC</t>
        </is>
      </c>
      <c r="B40" s="22">
        <f>WACC!D32</f>
        <v/>
      </c>
    </row>
    <row r="42">
      <c r="A42" s="7" t="inlineStr">
        <is>
          <t>SELECTED CASE — CONSOLIDATION (INDEX formula → used by projections)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9" t="n"/>
    </row>
    <row r="43">
      <c r="A43" s="10" t="inlineStr">
        <is>
          <t>Assumption</t>
        </is>
      </c>
      <c r="B43" s="11" t="inlineStr">
        <is>
          <t>FY2026E</t>
        </is>
      </c>
      <c r="C43" s="11" t="inlineStr">
        <is>
          <t>FY2027E</t>
        </is>
      </c>
      <c r="D43" s="11" t="inlineStr">
        <is>
          <t>FY2028E</t>
        </is>
      </c>
      <c r="E43" s="11" t="inlineStr">
        <is>
          <t>FY2029E</t>
        </is>
      </c>
      <c r="F43" s="11" t="inlineStr">
        <is>
          <t>FY2030E</t>
        </is>
      </c>
    </row>
    <row r="44">
      <c r="A44" s="16" t="inlineStr">
        <is>
          <t>Revenue Growth — FY2026E</t>
        </is>
      </c>
      <c r="B44" s="23">
        <f>IF(B5=1,B18,IF(B5=2,B24,B30))</f>
        <v/>
      </c>
    </row>
    <row r="45">
      <c r="A45" s="16" t="inlineStr">
        <is>
          <t>Revenue Growth — FY2027E</t>
        </is>
      </c>
      <c r="B45" s="23">
        <f>IF(B5=1,C18,IF(B5=2,C24,C30))</f>
        <v/>
      </c>
    </row>
    <row r="46">
      <c r="A46" s="16" t="inlineStr">
        <is>
          <t>Revenue Growth — FY2028E</t>
        </is>
      </c>
      <c r="B46" s="23">
        <f>IF(B5=1,D18,IF(B5=2,D24,D30))</f>
        <v/>
      </c>
    </row>
    <row r="47">
      <c r="A47" s="16" t="inlineStr">
        <is>
          <t>Revenue Growth — FY2029E</t>
        </is>
      </c>
      <c r="B47" s="23">
        <f>IF(B5=1,E18,IF(B5=2,E24,E30))</f>
        <v/>
      </c>
    </row>
    <row r="48">
      <c r="A48" s="16" t="inlineStr">
        <is>
          <t>Revenue Growth — FY2030E</t>
        </is>
      </c>
      <c r="B48" s="23">
        <f>IF(B5=1,F18,IF(B5=2,F24,F30))</f>
        <v/>
      </c>
    </row>
    <row r="49">
      <c r="A49" s="16" t="inlineStr">
        <is>
          <t>EBIT Margin — FY2026E</t>
        </is>
      </c>
      <c r="B49" s="23">
        <f>IF(B5=1,B19,IF(B5=2,B25,B31))</f>
        <v/>
      </c>
    </row>
    <row r="50">
      <c r="A50" s="16" t="inlineStr">
        <is>
          <t>EBIT Margin — FY2027E</t>
        </is>
      </c>
      <c r="B50" s="23">
        <f>IF(B5=1,C19,IF(B5=2,C25,C31))</f>
        <v/>
      </c>
    </row>
    <row r="51">
      <c r="A51" s="16" t="inlineStr">
        <is>
          <t>EBIT Margin — FY2028E</t>
        </is>
      </c>
      <c r="B51" s="23">
        <f>IF(B5=1,D19,IF(B5=2,D25,D31))</f>
        <v/>
      </c>
    </row>
    <row r="52">
      <c r="A52" s="16" t="inlineStr">
        <is>
          <t>EBIT Margin — FY2029E</t>
        </is>
      </c>
      <c r="B52" s="23">
        <f>IF(B5=1,E19,IF(B5=2,E25,E31))</f>
        <v/>
      </c>
    </row>
    <row r="53">
      <c r="A53" s="16" t="inlineStr">
        <is>
          <t>EBIT Margin — FY2030E</t>
        </is>
      </c>
      <c r="B53" s="23">
        <f>IF(B5=1,F19,IF(B5=2,F25,F31))</f>
        <v/>
      </c>
    </row>
    <row r="54">
      <c r="A54" s="16" t="inlineStr">
        <is>
          <t>Terminal Growth Rate</t>
        </is>
      </c>
      <c r="B54" s="23">
        <f>IF(B5=1,B20,IF(B5=2,B26,B32))</f>
        <v/>
      </c>
    </row>
    <row r="56">
      <c r="A56" s="7" t="inlineStr">
        <is>
          <t>HISTORICAL &amp; PROJECTED INCOME STATEMENT ($M)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9" t="n"/>
    </row>
    <row r="57">
      <c r="A57" s="10" t="inlineStr">
        <is>
          <t>Income Statement ($M)</t>
        </is>
      </c>
      <c r="B57" s="11" t="inlineStr">
        <is>
          <t>FY2021A</t>
        </is>
      </c>
      <c r="C57" s="11" t="inlineStr">
        <is>
          <t>FY2022A</t>
        </is>
      </c>
      <c r="D57" s="11" t="inlineStr">
        <is>
          <t>FY2023A</t>
        </is>
      </c>
      <c r="E57" s="11" t="inlineStr">
        <is>
          <t>FY2024A</t>
        </is>
      </c>
      <c r="F57" s="11" t="inlineStr">
        <is>
          <t>FY2025A</t>
        </is>
      </c>
      <c r="G57" s="11" t="inlineStr">
        <is>
          <t>FY2026E</t>
        </is>
      </c>
      <c r="H57" s="11" t="inlineStr">
        <is>
          <t>FY2027E</t>
        </is>
      </c>
      <c r="I57" s="11" t="inlineStr">
        <is>
          <t>FY2028E</t>
        </is>
      </c>
      <c r="J57" s="11" t="inlineStr">
        <is>
          <t>FY2029E</t>
        </is>
      </c>
      <c r="K57" s="11" t="inlineStr">
        <is>
          <t>FY2030E</t>
        </is>
      </c>
    </row>
    <row r="58">
      <c r="A58" s="4" t="inlineStr">
        <is>
          <t>Revenue</t>
        </is>
      </c>
      <c r="B58" s="18" t="n">
        <v>6894</v>
      </c>
      <c r="C58" s="18" t="n">
        <v>7946</v>
      </c>
      <c r="D58" s="18" t="n">
        <v>8160</v>
      </c>
      <c r="E58" s="18" t="n">
        <v>7430</v>
      </c>
      <c r="F58" s="18" t="n">
        <v>7219</v>
      </c>
      <c r="G58" s="24">
        <f>F58*(1+B44)</f>
        <v/>
      </c>
      <c r="H58" s="24">
        <f>G58*(1+B45)</f>
        <v/>
      </c>
      <c r="I58" s="24">
        <f>H58*(1+B46)</f>
        <v/>
      </c>
      <c r="J58" s="24">
        <f>I58*(1+B47)</f>
        <v/>
      </c>
      <c r="K58" s="24">
        <f>J58*(1+B48)</f>
        <v/>
      </c>
    </row>
    <row r="59">
      <c r="A59" s="25" t="inlineStr">
        <is>
          <t xml:space="preserve">  % Growth</t>
        </is>
      </c>
      <c r="C59" s="26">
        <f>C58/B58-1</f>
        <v/>
      </c>
      <c r="D59" s="26">
        <f>D58/C58-1</f>
        <v/>
      </c>
      <c r="E59" s="26">
        <f>E58/D58-1</f>
        <v/>
      </c>
      <c r="F59" s="26">
        <f>F58/E58-1</f>
        <v/>
      </c>
      <c r="G59" s="26">
        <f>G58/F58-1</f>
        <v/>
      </c>
      <c r="H59" s="26">
        <f>H58/G58-1</f>
        <v/>
      </c>
      <c r="I59" s="26">
        <f>I58/H58-1</f>
        <v/>
      </c>
      <c r="J59" s="26">
        <f>J58/I58-1</f>
        <v/>
      </c>
      <c r="K59" s="26">
        <f>K58/J58-1</f>
        <v/>
      </c>
    </row>
    <row r="61">
      <c r="A61" s="16" t="inlineStr">
        <is>
          <t>Gross Profit</t>
        </is>
      </c>
      <c r="B61" s="18" t="n">
        <v>1331</v>
      </c>
      <c r="C61" s="18" t="n">
        <v>1494</v>
      </c>
      <c r="D61" s="18" t="n">
        <v>1749</v>
      </c>
      <c r="E61" s="18" t="n">
        <v>1791</v>
      </c>
      <c r="F61" s="18" t="n">
        <v>1828</v>
      </c>
    </row>
    <row r="62">
      <c r="A62" s="25" t="inlineStr">
        <is>
          <t xml:space="preserve">  % Margin</t>
        </is>
      </c>
      <c r="B62" s="26">
        <f>B61/B58</f>
        <v/>
      </c>
      <c r="C62" s="26">
        <f>C61/C58</f>
        <v/>
      </c>
      <c r="D62" s="26">
        <f>D61/D58</f>
        <v/>
      </c>
      <c r="E62" s="26">
        <f>E61/E58</f>
        <v/>
      </c>
      <c r="F62" s="26">
        <f>F61/F58</f>
        <v/>
      </c>
    </row>
    <row r="64">
      <c r="A64" s="4" t="inlineStr">
        <is>
          <t>EBIT (Operating Income)</t>
        </is>
      </c>
      <c r="B64" s="18" t="n">
        <v>681</v>
      </c>
      <c r="C64" s="18" t="n">
        <v>771</v>
      </c>
      <c r="D64" s="18" t="n">
        <v>968</v>
      </c>
      <c r="E64" s="18" t="n">
        <v>1012</v>
      </c>
      <c r="F64" s="18" t="n">
        <v>1040</v>
      </c>
      <c r="G64" s="24">
        <f>G58*B49</f>
        <v/>
      </c>
      <c r="H64" s="24">
        <f>H58*B50</f>
        <v/>
      </c>
      <c r="I64" s="24">
        <f>I58*B51</f>
        <v/>
      </c>
      <c r="J64" s="24">
        <f>J58*B52</f>
        <v/>
      </c>
      <c r="K64" s="24">
        <f>K58*B53</f>
        <v/>
      </c>
    </row>
    <row r="65">
      <c r="A65" s="25" t="inlineStr">
        <is>
          <t xml:space="preserve">  % Margin</t>
        </is>
      </c>
      <c r="B65" s="26">
        <f>B64/B58</f>
        <v/>
      </c>
      <c r="C65" s="26">
        <f>C64/C58</f>
        <v/>
      </c>
      <c r="D65" s="26">
        <f>D64/D58</f>
        <v/>
      </c>
      <c r="E65" s="26">
        <f>E64/E58</f>
        <v/>
      </c>
      <c r="F65" s="26">
        <f>F64/F58</f>
        <v/>
      </c>
      <c r="G65" s="26">
        <f>G64/G58</f>
        <v/>
      </c>
      <c r="H65" s="26">
        <f>H64/H58</f>
        <v/>
      </c>
      <c r="I65" s="26">
        <f>I64/I58</f>
        <v/>
      </c>
      <c r="J65" s="26">
        <f>J64/J58</f>
        <v/>
      </c>
      <c r="K65" s="26">
        <f>K64/K58</f>
        <v/>
      </c>
    </row>
    <row r="66">
      <c r="A66" s="16" t="inlineStr">
        <is>
          <t>(-) Income Taxes</t>
        </is>
      </c>
      <c r="G66" s="17">
        <f>-G64*B36</f>
        <v/>
      </c>
      <c r="H66" s="17">
        <f>-H64*B36</f>
        <v/>
      </c>
      <c r="I66" s="17">
        <f>-I64*B36</f>
        <v/>
      </c>
      <c r="J66" s="17">
        <f>-J64*B36</f>
        <v/>
      </c>
      <c r="K66" s="17">
        <f>-K64*B36</f>
        <v/>
      </c>
    </row>
    <row r="67">
      <c r="A67" s="27" t="inlineStr">
        <is>
          <t>NOPAT</t>
        </is>
      </c>
      <c r="G67" s="19">
        <f>G64+G66</f>
        <v/>
      </c>
      <c r="H67" s="19">
        <f>H64+H66</f>
        <v/>
      </c>
      <c r="I67" s="19">
        <f>I64+I66</f>
        <v/>
      </c>
      <c r="J67" s="19">
        <f>J64+J66</f>
        <v/>
      </c>
      <c r="K67" s="19">
        <f>K64+K66</f>
        <v/>
      </c>
    </row>
    <row r="69">
      <c r="A69" s="7" t="inlineStr">
        <is>
          <t>FREE CASH FLOW BUILD ($M)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9" t="n"/>
    </row>
    <row r="70">
      <c r="A70" s="10" t="inlineStr">
        <is>
          <t>Cash Flow ($M)</t>
        </is>
      </c>
      <c r="B70" s="11" t="inlineStr">
        <is>
          <t>FY2021A</t>
        </is>
      </c>
      <c r="C70" s="11" t="inlineStr">
        <is>
          <t>FY2022A</t>
        </is>
      </c>
      <c r="D70" s="11" t="inlineStr">
        <is>
          <t>FY2023A</t>
        </is>
      </c>
      <c r="E70" s="11" t="inlineStr">
        <is>
          <t>FY2024A</t>
        </is>
      </c>
      <c r="F70" s="11" t="inlineStr">
        <is>
          <t>FY2025A</t>
        </is>
      </c>
      <c r="G70" s="11" t="inlineStr">
        <is>
          <t>FY2026E</t>
        </is>
      </c>
      <c r="H70" s="11" t="inlineStr">
        <is>
          <t>FY2027E</t>
        </is>
      </c>
      <c r="I70" s="11" t="inlineStr">
        <is>
          <t>FY2028E</t>
        </is>
      </c>
      <c r="J70" s="11" t="inlineStr">
        <is>
          <t>FY2029E</t>
        </is>
      </c>
      <c r="K70" s="11" t="inlineStr">
        <is>
          <t>FY2030E</t>
        </is>
      </c>
    </row>
    <row r="71">
      <c r="A71" s="4" t="inlineStr">
        <is>
          <t>NOPAT</t>
        </is>
      </c>
      <c r="G71" s="17">
        <f>G67</f>
        <v/>
      </c>
      <c r="H71" s="17">
        <f>H67</f>
        <v/>
      </c>
      <c r="I71" s="17">
        <f>I67</f>
        <v/>
      </c>
      <c r="J71" s="17">
        <f>J67</f>
        <v/>
      </c>
      <c r="K71" s="17">
        <f>K67</f>
        <v/>
      </c>
    </row>
    <row r="72">
      <c r="A72" s="16" t="inlineStr">
        <is>
          <t>(+) D&amp;A</t>
        </is>
      </c>
      <c r="B72" s="18" t="n">
        <v>220</v>
      </c>
      <c r="C72" s="18" t="n">
        <v>215</v>
      </c>
      <c r="D72" s="18" t="n">
        <v>219</v>
      </c>
      <c r="E72" s="18" t="n">
        <v>214</v>
      </c>
      <c r="F72" s="18" t="n">
        <v>222</v>
      </c>
      <c r="G72" s="17">
        <f>G58*B37</f>
        <v/>
      </c>
      <c r="H72" s="17">
        <f>H58*B37</f>
        <v/>
      </c>
      <c r="I72" s="17">
        <f>I58*B37</f>
        <v/>
      </c>
      <c r="J72" s="17">
        <f>J58*B37</f>
        <v/>
      </c>
      <c r="K72" s="17">
        <f>K58*B37</f>
        <v/>
      </c>
    </row>
    <row r="73">
      <c r="A73" s="25" t="inlineStr">
        <is>
          <t xml:space="preserve">    % of Revenue</t>
        </is>
      </c>
      <c r="B73" s="26">
        <f>B72/B58</f>
        <v/>
      </c>
      <c r="C73" s="26">
        <f>C72/C58</f>
        <v/>
      </c>
      <c r="D73" s="26">
        <f>D72/D58</f>
        <v/>
      </c>
      <c r="E73" s="26">
        <f>E72/E58</f>
        <v/>
      </c>
      <c r="F73" s="26">
        <f>F72/F58</f>
        <v/>
      </c>
      <c r="G73" s="26">
        <f>G72/G58</f>
        <v/>
      </c>
      <c r="H73" s="26">
        <f>H72/H58</f>
        <v/>
      </c>
      <c r="I73" s="26">
        <f>I72/I58</f>
        <v/>
      </c>
      <c r="J73" s="26">
        <f>J72/J58</f>
        <v/>
      </c>
      <c r="K73" s="26">
        <f>K72/K58</f>
        <v/>
      </c>
    </row>
    <row r="74">
      <c r="A74" s="16" t="inlineStr">
        <is>
          <t>(-) Capital Expenditures</t>
        </is>
      </c>
      <c r="B74" s="18" t="n">
        <v>-300</v>
      </c>
      <c r="C74" s="18" t="n">
        <v>-300</v>
      </c>
      <c r="D74" s="18" t="n">
        <v>-314</v>
      </c>
      <c r="E74" s="18" t="n">
        <v>-295</v>
      </c>
      <c r="F74" s="18" t="n">
        <v>-433</v>
      </c>
      <c r="G74" s="17">
        <f>-G58*B38</f>
        <v/>
      </c>
      <c r="H74" s="17">
        <f>-H58*C38</f>
        <v/>
      </c>
      <c r="I74" s="17">
        <f>-I58*D38</f>
        <v/>
      </c>
      <c r="J74" s="17">
        <f>-J58*E38</f>
        <v/>
      </c>
      <c r="K74" s="17">
        <f>-K58*F38</f>
        <v/>
      </c>
    </row>
    <row r="75">
      <c r="A75" s="25" t="inlineStr">
        <is>
          <t xml:space="preserve">    % of Revenue</t>
        </is>
      </c>
      <c r="B75" s="26">
        <f>ABS(B74)/B58</f>
        <v/>
      </c>
      <c r="C75" s="26">
        <f>ABS(C74)/C58</f>
        <v/>
      </c>
      <c r="D75" s="26">
        <f>ABS(D74)/D58</f>
        <v/>
      </c>
      <c r="E75" s="26">
        <f>ABS(E74)/E58</f>
        <v/>
      </c>
      <c r="F75" s="26">
        <f>ABS(F74)/F58</f>
        <v/>
      </c>
      <c r="G75" s="26">
        <f>ABS(G74)/G58</f>
        <v/>
      </c>
      <c r="H75" s="26">
        <f>ABS(H74)/H58</f>
        <v/>
      </c>
      <c r="I75" s="26">
        <f>ABS(I74)/I58</f>
        <v/>
      </c>
      <c r="J75" s="26">
        <f>ABS(J74)/J58</f>
        <v/>
      </c>
      <c r="K75" s="26">
        <f>ABS(K74)/K58</f>
        <v/>
      </c>
    </row>
    <row r="76">
      <c r="A76" s="16" t="inlineStr">
        <is>
          <t>(-) Change in NWC (ΔNwc)</t>
        </is>
      </c>
      <c r="G76" s="17">
        <f>-(G58-F58)*B39</f>
        <v/>
      </c>
      <c r="H76" s="17">
        <f>-(H58-G58)*B39</f>
        <v/>
      </c>
      <c r="I76" s="17">
        <f>-(I58-H58)*B39</f>
        <v/>
      </c>
      <c r="J76" s="17">
        <f>-(J58-I58)*B39</f>
        <v/>
      </c>
      <c r="K76" s="17">
        <f>-(K58-J58)*B39</f>
        <v/>
      </c>
    </row>
    <row r="77">
      <c r="A77" s="25" t="inlineStr">
        <is>
          <t xml:space="preserve">    % of ΔRevenue</t>
        </is>
      </c>
      <c r="G77" s="26">
        <f>IF((G58-F58)=0,0,-G76/(G58-F58))</f>
        <v/>
      </c>
      <c r="H77" s="26">
        <f>IF((H58-G58)=0,0,-H76/(H58-G58))</f>
        <v/>
      </c>
      <c r="I77" s="26">
        <f>IF((I58-H58)=0,0,-I76/(I58-H58))</f>
        <v/>
      </c>
      <c r="J77" s="26">
        <f>IF((J58-I58)=0,0,-J76/(J58-I58))</f>
        <v/>
      </c>
      <c r="K77" s="26">
        <f>IF((K58-J58)=0,0,-K76/(K58-J58))</f>
        <v/>
      </c>
    </row>
    <row r="79">
      <c r="A79" s="27" t="inlineStr">
        <is>
          <t>Unlevered Free Cash Flow</t>
        </is>
      </c>
      <c r="G79" s="19">
        <f>G71+G72+G74+G76</f>
        <v/>
      </c>
      <c r="H79" s="19">
        <f>H71+H72+H74+H76</f>
        <v/>
      </c>
      <c r="I79" s="19">
        <f>I71+I72+I74+I76</f>
        <v/>
      </c>
      <c r="J79" s="19">
        <f>J71+J72+J74+J76</f>
        <v/>
      </c>
      <c r="K79" s="19">
        <f>K71+K72+K74+K76</f>
        <v/>
      </c>
    </row>
    <row r="80">
      <c r="A80" s="25" t="inlineStr">
        <is>
          <t xml:space="preserve">  FCF Margin</t>
        </is>
      </c>
      <c r="G80" s="26">
        <f>G79/G58</f>
        <v/>
      </c>
      <c r="H80" s="26">
        <f>H79/H58</f>
        <v/>
      </c>
      <c r="I80" s="26">
        <f>I79/I58</f>
        <v/>
      </c>
      <c r="J80" s="26">
        <f>J79/J58</f>
        <v/>
      </c>
      <c r="K80" s="26">
        <f>K79/K58</f>
        <v/>
      </c>
    </row>
    <row r="82">
      <c r="A82" s="7" t="inlineStr">
        <is>
          <t>DCF DISCOUNTING &amp; TERMINAL VALUE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9" t="n"/>
    </row>
    <row r="83">
      <c r="A83" s="10" t="inlineStr">
        <is>
          <t>Item</t>
        </is>
      </c>
      <c r="G83" s="11" t="inlineStr">
        <is>
          <t>FY2026E</t>
        </is>
      </c>
      <c r="H83" s="11" t="inlineStr">
        <is>
          <t>FY2027E</t>
        </is>
      </c>
      <c r="I83" s="11" t="inlineStr">
        <is>
          <t>FY2028E</t>
        </is>
      </c>
      <c r="J83" s="11" t="inlineStr">
        <is>
          <t>FY2029E</t>
        </is>
      </c>
      <c r="K83" s="11" t="inlineStr">
        <is>
          <t>FY2030E</t>
        </is>
      </c>
      <c r="L83" s="11" t="inlineStr">
        <is>
          <t>Terminal</t>
        </is>
      </c>
    </row>
    <row r="84">
      <c r="A84" s="16" t="inlineStr">
        <is>
          <t>Unlevered FCF ($M)</t>
        </is>
      </c>
      <c r="G84" s="17">
        <f>G79</f>
        <v/>
      </c>
      <c r="H84" s="17">
        <f>H79</f>
        <v/>
      </c>
      <c r="I84" s="17">
        <f>I79</f>
        <v/>
      </c>
      <c r="J84" s="17">
        <f>J79</f>
        <v/>
      </c>
      <c r="K84" s="17">
        <f>K79</f>
        <v/>
      </c>
    </row>
    <row r="85">
      <c r="A85" s="16" t="inlineStr">
        <is>
          <t>Discount Period (mid-year)</t>
        </is>
      </c>
      <c r="G85" s="28" t="n">
        <v>0.5</v>
      </c>
      <c r="H85" s="28" t="n">
        <v>1.5</v>
      </c>
      <c r="I85" s="28" t="n">
        <v>2.5</v>
      </c>
      <c r="J85" s="28" t="n">
        <v>3.5</v>
      </c>
      <c r="K85" s="28" t="n">
        <v>4.5</v>
      </c>
      <c r="L85" s="28" t="n">
        <v>4.5</v>
      </c>
    </row>
    <row r="86">
      <c r="A86" s="16" t="inlineStr">
        <is>
          <t>Discount Factor  [1/(1+WACC)^t]</t>
        </is>
      </c>
      <c r="G86" s="29">
        <f>1/(1+B40)^G85</f>
        <v/>
      </c>
      <c r="H86" s="29">
        <f>1/(1+B40)^H85</f>
        <v/>
      </c>
      <c r="I86" s="29">
        <f>1/(1+B40)^I85</f>
        <v/>
      </c>
      <c r="J86" s="29">
        <f>1/(1+B40)^J85</f>
        <v/>
      </c>
      <c r="K86" s="29">
        <f>1/(1+B40)^K85</f>
        <v/>
      </c>
      <c r="L86" s="29">
        <f>1/(1+B40)^L85</f>
        <v/>
      </c>
    </row>
    <row r="87">
      <c r="A87" s="30" t="inlineStr">
        <is>
          <t>PV of FCF ($M)</t>
        </is>
      </c>
      <c r="G87" s="31">
        <f>G84*G86</f>
        <v/>
      </c>
      <c r="H87" s="31">
        <f>H84*H86</f>
        <v/>
      </c>
      <c r="I87" s="31">
        <f>I84*I86</f>
        <v/>
      </c>
      <c r="J87" s="31">
        <f>J84*J86</f>
        <v/>
      </c>
      <c r="K87" s="31">
        <f>K84*K86</f>
        <v/>
      </c>
    </row>
    <row r="89">
      <c r="A89" s="16" t="inlineStr">
        <is>
          <t>Terminal Year FCF ($M)</t>
        </is>
      </c>
      <c r="L89" s="17">
        <f>K79*(1+B54)</f>
        <v/>
      </c>
    </row>
    <row r="90">
      <c r="A90" s="16" t="inlineStr">
        <is>
          <t>Terminal Value ($M)</t>
        </is>
      </c>
      <c r="L90" s="17">
        <f>L89/(B40-B54)</f>
        <v/>
      </c>
    </row>
    <row r="91">
      <c r="A91" s="27" t="inlineStr">
        <is>
          <t>PV of Terminal Value ($M)</t>
        </is>
      </c>
      <c r="L91" s="19">
        <f>L90*L86</f>
        <v/>
      </c>
    </row>
    <row r="93">
      <c r="A93" s="7" t="inlineStr">
        <is>
          <t>VALUATION SUMMARY — EV → EQUITY BRIDGE</t>
        </is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9" t="n"/>
    </row>
    <row r="94">
      <c r="A94" s="16" t="inlineStr">
        <is>
          <t>Sum of PV of FCFs ($M)</t>
        </is>
      </c>
      <c r="B94" s="17">
        <f>G87+H87+I87+J87+K87</f>
        <v/>
      </c>
    </row>
    <row r="95">
      <c r="A95" s="16" t="inlineStr">
        <is>
          <t>PV of Terminal Value ($M)</t>
        </is>
      </c>
      <c r="B95" s="17">
        <f>L91</f>
        <v/>
      </c>
    </row>
    <row r="96">
      <c r="A96" s="27" t="inlineStr">
        <is>
          <t>Enterprise Value ($M)</t>
        </is>
      </c>
      <c r="B96" s="19">
        <f>B94+B95</f>
        <v/>
      </c>
    </row>
    <row r="97">
      <c r="A97" s="16" t="inlineStr">
        <is>
          <t>(-) Net Debt ($M)</t>
        </is>
      </c>
      <c r="B97" s="17">
        <f>B14</f>
        <v/>
      </c>
    </row>
    <row r="98">
      <c r="A98" s="27" t="inlineStr">
        <is>
          <t>Equity Value ($M)</t>
        </is>
      </c>
      <c r="B98" s="19">
        <f>B96-B97</f>
        <v/>
      </c>
    </row>
    <row r="100">
      <c r="A100" s="16" t="inlineStr">
        <is>
          <t>Diluted Shares Outstanding (M)</t>
        </is>
      </c>
      <c r="B100" s="32">
        <f>B10</f>
        <v/>
      </c>
    </row>
    <row r="101">
      <c r="A101" s="27" t="inlineStr">
        <is>
          <t>IMPLIED PRICE PER SHARE</t>
        </is>
      </c>
      <c r="B101" s="33">
        <f>B98/B100</f>
        <v/>
      </c>
    </row>
    <row r="102">
      <c r="A102" s="16" t="inlineStr">
        <is>
          <t>Current Stock Price</t>
        </is>
      </c>
      <c r="B102" s="34">
        <f>B9</f>
        <v/>
      </c>
    </row>
    <row r="103">
      <c r="A103" s="27" t="inlineStr">
        <is>
          <t>Implied Upside / (Downside)</t>
        </is>
      </c>
      <c r="B103" s="35">
        <f>B101/B102-1</f>
        <v/>
      </c>
    </row>
    <row r="105">
      <c r="A105" s="7" t="inlineStr">
        <is>
          <t>SENSITIVITY TABLE 1 — Implied Share Price: WACC vs Terminal Growth Rate</t>
        </is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9" t="n"/>
    </row>
    <row r="106">
      <c r="A106" s="10" t="inlineStr">
        <is>
          <t>WACC  →  Terminal G</t>
        </is>
      </c>
      <c r="B106" s="36" t="n">
        <v>0.01</v>
      </c>
      <c r="C106" s="36" t="n">
        <v>0.015</v>
      </c>
      <c r="D106" s="36" t="n">
        <v>0.025</v>
      </c>
      <c r="E106" s="36" t="n">
        <v>0.03</v>
      </c>
      <c r="F106" s="36" t="n">
        <v>0.035</v>
      </c>
    </row>
    <row r="107">
      <c r="A107" s="36" t="n">
        <v>0.065</v>
      </c>
      <c r="B107" s="34">
        <f>(G79/(1+0.065)^0.5+H79/(1+0.065)^1.5+I79/(1+0.065)^2.5+J79/(1+0.065)^3.5+K79/(1+0.065)^4.5+((K79*(1+0.01))/(0.065-0.01))/(1+0.065)^4.5-B14)/B10</f>
        <v/>
      </c>
      <c r="C107" s="34">
        <f>(G79/(1+0.065)^0.5+H79/(1+0.065)^1.5+I79/(1+0.065)^2.5+J79/(1+0.065)^3.5+K79/(1+0.065)^4.5+((K79*(1+0.015))/(0.065-0.015))/(1+0.065)^4.5-B14)/B10</f>
        <v/>
      </c>
      <c r="D107" s="34">
        <f>(G79/(1+0.065)^0.5+H79/(1+0.065)^1.5+I79/(1+0.065)^2.5+J79/(1+0.065)^3.5+K79/(1+0.065)^4.5+((K79*(1+0.025))/(0.065-0.025))/(1+0.065)^4.5-B14)/B10</f>
        <v/>
      </c>
      <c r="E107" s="34">
        <f>(G79/(1+0.065)^0.5+H79/(1+0.065)^1.5+I79/(1+0.065)^2.5+J79/(1+0.065)^3.5+K79/(1+0.065)^4.5+((K79*(1+0.03))/(0.065-0.03))/(1+0.065)^4.5-B14)/B10</f>
        <v/>
      </c>
      <c r="F107" s="34">
        <f>(G79/(1+0.065)^0.5+H79/(1+0.065)^1.5+I79/(1+0.065)^2.5+J79/(1+0.065)^3.5+K79/(1+0.065)^4.5+((K79*(1+0.035))/(0.065-0.035))/(1+0.065)^4.5-B14)/B10</f>
        <v/>
      </c>
    </row>
    <row r="108">
      <c r="A108" s="36" t="n">
        <v>0.07000000000000001</v>
      </c>
      <c r="B108" s="34">
        <f>(G79/(1+0.07)^0.5+H79/(1+0.07)^1.5+I79/(1+0.07)^2.5+J79/(1+0.07)^3.5+K79/(1+0.07)^4.5+((K79*(1+0.01))/(0.07-0.01))/(1+0.07)^4.5-B14)/B10</f>
        <v/>
      </c>
      <c r="C108" s="34">
        <f>(G79/(1+0.07)^0.5+H79/(1+0.07)^1.5+I79/(1+0.07)^2.5+J79/(1+0.07)^3.5+K79/(1+0.07)^4.5+((K79*(1+0.015))/(0.07-0.015))/(1+0.07)^4.5-B14)/B10</f>
        <v/>
      </c>
      <c r="D108" s="34">
        <f>(G79/(1+0.07)^0.5+H79/(1+0.07)^1.5+I79/(1+0.07)^2.5+J79/(1+0.07)^3.5+K79/(1+0.07)^4.5+((K79*(1+0.025))/(0.07-0.025))/(1+0.07)^4.5-B14)/B10</f>
        <v/>
      </c>
      <c r="E108" s="34">
        <f>(G79/(1+0.07)^0.5+H79/(1+0.07)^1.5+I79/(1+0.07)^2.5+J79/(1+0.07)^3.5+K79/(1+0.07)^4.5+((K79*(1+0.03))/(0.07-0.03))/(1+0.07)^4.5-B14)/B10</f>
        <v/>
      </c>
      <c r="F108" s="34">
        <f>(G79/(1+0.07)^0.5+H79/(1+0.07)^1.5+I79/(1+0.07)^2.5+J79/(1+0.07)^3.5+K79/(1+0.07)^4.5+((K79*(1+0.035))/(0.07-0.035))/(1+0.07)^4.5-B14)/B10</f>
        <v/>
      </c>
    </row>
    <row r="109">
      <c r="A109" s="36" t="n">
        <v>0.076</v>
      </c>
      <c r="B109" s="34">
        <f>(G79/(1+0.076)^0.5+H79/(1+0.076)^1.5+I79/(1+0.076)^2.5+J79/(1+0.076)^3.5+K79/(1+0.076)^4.5+((K79*(1+0.01))/(0.076-0.01))/(1+0.076)^4.5-B14)/B10</f>
        <v/>
      </c>
      <c r="C109" s="34">
        <f>(G79/(1+0.076)^0.5+H79/(1+0.076)^1.5+I79/(1+0.076)^2.5+J79/(1+0.076)^3.5+K79/(1+0.076)^4.5+((K79*(1+0.015))/(0.076-0.015))/(1+0.076)^4.5-B14)/B10</f>
        <v/>
      </c>
      <c r="D109" s="33">
        <f>(G79/(1+0.076)^0.5+H79/(1+0.076)^1.5+I79/(1+0.076)^2.5+J79/(1+0.076)^3.5+K79/(1+0.076)^4.5+((K79*(1+0.025))/(0.076-0.025))/(1+0.076)^4.5-B14)/B10</f>
        <v/>
      </c>
      <c r="E109" s="34">
        <f>(G79/(1+0.076)^0.5+H79/(1+0.076)^1.5+I79/(1+0.076)^2.5+J79/(1+0.076)^3.5+K79/(1+0.076)^4.5+((K79*(1+0.03))/(0.076-0.03))/(1+0.076)^4.5-B14)/B10</f>
        <v/>
      </c>
      <c r="F109" s="34">
        <f>(G79/(1+0.076)^0.5+H79/(1+0.076)^1.5+I79/(1+0.076)^2.5+J79/(1+0.076)^3.5+K79/(1+0.076)^4.5+((K79*(1+0.035))/(0.076-0.035))/(1+0.076)^4.5-B14)/B10</f>
        <v/>
      </c>
    </row>
    <row r="110">
      <c r="A110" s="36" t="n">
        <v>0.082</v>
      </c>
      <c r="B110" s="34">
        <f>(G79/(1+0.082)^0.5+H79/(1+0.082)^1.5+I79/(1+0.082)^2.5+J79/(1+0.082)^3.5+K79/(1+0.082)^4.5+((K79*(1+0.01))/(0.082-0.01))/(1+0.082)^4.5-B14)/B10</f>
        <v/>
      </c>
      <c r="C110" s="34">
        <f>(G79/(1+0.082)^0.5+H79/(1+0.082)^1.5+I79/(1+0.082)^2.5+J79/(1+0.082)^3.5+K79/(1+0.082)^4.5+((K79*(1+0.015))/(0.082-0.015))/(1+0.082)^4.5-B14)/B10</f>
        <v/>
      </c>
      <c r="D110" s="34">
        <f>(G79/(1+0.082)^0.5+H79/(1+0.082)^1.5+I79/(1+0.082)^2.5+J79/(1+0.082)^3.5+K79/(1+0.082)^4.5+((K79*(1+0.025))/(0.082-0.025))/(1+0.082)^4.5-B14)/B10</f>
        <v/>
      </c>
      <c r="E110" s="34">
        <f>(G79/(1+0.082)^0.5+H79/(1+0.082)^1.5+I79/(1+0.082)^2.5+J79/(1+0.082)^3.5+K79/(1+0.082)^4.5+((K79*(1+0.03))/(0.082-0.03))/(1+0.082)^4.5-B14)/B10</f>
        <v/>
      </c>
      <c r="F110" s="34">
        <f>(G79/(1+0.082)^0.5+H79/(1+0.082)^1.5+I79/(1+0.082)^2.5+J79/(1+0.082)^3.5+K79/(1+0.082)^4.5+((K79*(1+0.035))/(0.082-0.035))/(1+0.082)^4.5-B14)/B10</f>
        <v/>
      </c>
    </row>
    <row r="111">
      <c r="A111" s="36" t="n">
        <v>0.09</v>
      </c>
      <c r="B111" s="34">
        <f>(G79/(1+0.09)^0.5+H79/(1+0.09)^1.5+I79/(1+0.09)^2.5+J79/(1+0.09)^3.5+K79/(1+0.09)^4.5+((K79*(1+0.01))/(0.09-0.01))/(1+0.09)^4.5-B14)/B10</f>
        <v/>
      </c>
      <c r="C111" s="34">
        <f>(G79/(1+0.09)^0.5+H79/(1+0.09)^1.5+I79/(1+0.09)^2.5+J79/(1+0.09)^3.5+K79/(1+0.09)^4.5+((K79*(1+0.015))/(0.09-0.015))/(1+0.09)^4.5-B14)/B10</f>
        <v/>
      </c>
      <c r="D111" s="34">
        <f>(G79/(1+0.09)^0.5+H79/(1+0.09)^1.5+I79/(1+0.09)^2.5+J79/(1+0.09)^3.5+K79/(1+0.09)^4.5+((K79*(1+0.025))/(0.09-0.025))/(1+0.09)^4.5-B14)/B10</f>
        <v/>
      </c>
      <c r="E111" s="34">
        <f>(G79/(1+0.09)^0.5+H79/(1+0.09)^1.5+I79/(1+0.09)^2.5+J79/(1+0.09)^3.5+K79/(1+0.09)^4.5+((K79*(1+0.03))/(0.09-0.03))/(1+0.09)^4.5-B14)/B10</f>
        <v/>
      </c>
      <c r="F111" s="34">
        <f>(G79/(1+0.09)^0.5+H79/(1+0.09)^1.5+I79/(1+0.09)^2.5+J79/(1+0.09)^3.5+K79/(1+0.09)^4.5+((K79*(1+0.035))/(0.09-0.035))/(1+0.09)^4.5-B14)/B10</f>
        <v/>
      </c>
    </row>
    <row r="114">
      <c r="A114" s="7" t="inlineStr">
        <is>
          <t>SENSITIVITY TABLE 2 — Implied Share Price: FY2026 Revenue Growth vs FY2026 EBIT Margin</t>
        </is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9" t="n"/>
    </row>
    <row r="115">
      <c r="A115" s="10" t="inlineStr">
        <is>
          <t>Rev Grw  →  EBIT Mrg</t>
        </is>
      </c>
      <c r="B115" s="36" t="n">
        <v>0.12</v>
      </c>
      <c r="C115" s="36" t="n">
        <v>0.13</v>
      </c>
      <c r="D115" s="36" t="n">
        <v>0.14</v>
      </c>
      <c r="E115" s="36" t="n">
        <v>0.15</v>
      </c>
      <c r="F115" s="36" t="n">
        <v>0.16</v>
      </c>
    </row>
    <row r="116">
      <c r="A116" s="36" t="n">
        <v>0</v>
      </c>
      <c r="B116" s="34">
        <f>((((F58*(1+0.0))*0.12)*(1-B36)+(F58*(1+0.0))*B37+-(F58*(1+0.0))*B38+-((F58*(1+0.0))-F58)*B39)/(1+B40)^0.5+H79/(1+B40)^1.5+I79/(1+B40)^2.5+J79/(1+B40)^3.5+K79/(1+B40)^4.5+((K79*(1+B54))/(B40-B54))/(1+B40)^4.5-B14)/B10</f>
        <v/>
      </c>
      <c r="C116" s="34">
        <f>((((F58*(1+0.0))*0.13)*(1-B36)+(F58*(1+0.0))*B37+-(F58*(1+0.0))*B38+-((F58*(1+0.0))-F58)*B39)/(1+B40)^0.5+H79/(1+B40)^1.5+I79/(1+B40)^2.5+J79/(1+B40)^3.5+K79/(1+B40)^4.5+((K79*(1+B54))/(B40-B54))/(1+B40)^4.5-B14)/B10</f>
        <v/>
      </c>
      <c r="D116" s="34">
        <f>((((F58*(1+0.0))*0.14)*(1-B36)+(F58*(1+0.0))*B37+-(F58*(1+0.0))*B38+-((F58*(1+0.0))-F58)*B39)/(1+B40)^0.5+H79/(1+B40)^1.5+I79/(1+B40)^2.5+J79/(1+B40)^3.5+K79/(1+B40)^4.5+((K79*(1+B54))/(B40-B54))/(1+B40)^4.5-B14)/B10</f>
        <v/>
      </c>
      <c r="E116" s="34">
        <f>((((F58*(1+0.0))*0.15)*(1-B36)+(F58*(1+0.0))*B37+-(F58*(1+0.0))*B38+-((F58*(1+0.0))-F58)*B39)/(1+B40)^0.5+H79/(1+B40)^1.5+I79/(1+B40)^2.5+J79/(1+B40)^3.5+K79/(1+B40)^4.5+((K79*(1+B54))/(B40-B54))/(1+B40)^4.5-B14)/B10</f>
        <v/>
      </c>
      <c r="F116" s="34">
        <f>((((F58*(1+0.0))*0.16)*(1-B36)+(F58*(1+0.0))*B37+-(F58*(1+0.0))*B38+-((F58*(1+0.0))-F58)*B39)/(1+B40)^0.5+H79/(1+B40)^1.5+I79/(1+B40)^2.5+J79/(1+B40)^3.5+K79/(1+B40)^4.5+((K79*(1+B54))/(B40-B54))/(1+B40)^4.5-B14)/B10</f>
        <v/>
      </c>
    </row>
    <row r="117">
      <c r="A117" s="36" t="n">
        <v>0.01</v>
      </c>
      <c r="B117" s="34">
        <f>((((F58*(1+0.01))*0.12)*(1-B36)+(F58*(1+0.01))*B37+-(F58*(1+0.01))*B38+-((F58*(1+0.01))-F58)*B39)/(1+B40)^0.5+H79/(1+B40)^1.5+I79/(1+B40)^2.5+J79/(1+B40)^3.5+K79/(1+B40)^4.5+((K79*(1+B54))/(B40-B54))/(1+B40)^4.5-B14)/B10</f>
        <v/>
      </c>
      <c r="C117" s="34">
        <f>((((F58*(1+0.01))*0.13)*(1-B36)+(F58*(1+0.01))*B37+-(F58*(1+0.01))*B38+-((F58*(1+0.01))-F58)*B39)/(1+B40)^0.5+H79/(1+B40)^1.5+I79/(1+B40)^2.5+J79/(1+B40)^3.5+K79/(1+B40)^4.5+((K79*(1+B54))/(B40-B54))/(1+B40)^4.5-B14)/B10</f>
        <v/>
      </c>
      <c r="D117" s="34">
        <f>((((F58*(1+0.01))*0.14)*(1-B36)+(F58*(1+0.01))*B37+-(F58*(1+0.01))*B38+-((F58*(1+0.01))-F58)*B39)/(1+B40)^0.5+H79/(1+B40)^1.5+I79/(1+B40)^2.5+J79/(1+B40)^3.5+K79/(1+B40)^4.5+((K79*(1+B54))/(B40-B54))/(1+B40)^4.5-B14)/B10</f>
        <v/>
      </c>
      <c r="E117" s="34">
        <f>((((F58*(1+0.01))*0.15)*(1-B36)+(F58*(1+0.01))*B37+-(F58*(1+0.01))*B38+-((F58*(1+0.01))-F58)*B39)/(1+B40)^0.5+H79/(1+B40)^1.5+I79/(1+B40)^2.5+J79/(1+B40)^3.5+K79/(1+B40)^4.5+((K79*(1+B54))/(B40-B54))/(1+B40)^4.5-B14)/B10</f>
        <v/>
      </c>
      <c r="F117" s="34">
        <f>((((F58*(1+0.01))*0.16)*(1-B36)+(F58*(1+0.01))*B37+-(F58*(1+0.01))*B38+-((F58*(1+0.01))-F58)*B39)/(1+B40)^0.5+H79/(1+B40)^1.5+I79/(1+B40)^2.5+J79/(1+B40)^3.5+K79/(1+B40)^4.5+((K79*(1+B54))/(B40-B54))/(1+B40)^4.5-B14)/B10</f>
        <v/>
      </c>
    </row>
    <row r="118">
      <c r="A118" s="36" t="n">
        <v>0.02</v>
      </c>
      <c r="B118" s="34">
        <f>((((F58*(1+0.02))*0.12)*(1-B36)+(F58*(1+0.02))*B37+-(F58*(1+0.02))*B38+-((F58*(1+0.02))-F58)*B39)/(1+B40)^0.5+H79/(1+B40)^1.5+I79/(1+B40)^2.5+J79/(1+B40)^3.5+K79/(1+B40)^4.5+((K79*(1+B54))/(B40-B54))/(1+B40)^4.5-B14)/B10</f>
        <v/>
      </c>
      <c r="C118" s="34">
        <f>((((F58*(1+0.02))*0.13)*(1-B36)+(F58*(1+0.02))*B37+-(F58*(1+0.02))*B38+-((F58*(1+0.02))-F58)*B39)/(1+B40)^0.5+H79/(1+B40)^1.5+I79/(1+B40)^2.5+J79/(1+B40)^3.5+K79/(1+B40)^4.5+((K79*(1+B54))/(B40-B54))/(1+B40)^4.5-B14)/B10</f>
        <v/>
      </c>
      <c r="D118" s="33">
        <f>((((F58*(1+0.02))*0.14)*(1-B36)+(F58*(1+0.02))*B37+-(F58*(1+0.02))*B38+-((F58*(1+0.02))-F58)*B39)/(1+B40)^0.5+H79/(1+B40)^1.5+I79/(1+B40)^2.5+J79/(1+B40)^3.5+K79/(1+B40)^4.5+((K79*(1+B54))/(B40-B54))/(1+B40)^4.5-B14)/B10</f>
        <v/>
      </c>
      <c r="E118" s="34">
        <f>((((F58*(1+0.02))*0.15)*(1-B36)+(F58*(1+0.02))*B37+-(F58*(1+0.02))*B38+-((F58*(1+0.02))-F58)*B39)/(1+B40)^0.5+H79/(1+B40)^1.5+I79/(1+B40)^2.5+J79/(1+B40)^3.5+K79/(1+B40)^4.5+((K79*(1+B54))/(B40-B54))/(1+B40)^4.5-B14)/B10</f>
        <v/>
      </c>
      <c r="F118" s="34">
        <f>((((F58*(1+0.02))*0.16)*(1-B36)+(F58*(1+0.02))*B37+-(F58*(1+0.02))*B38+-((F58*(1+0.02))-F58)*B39)/(1+B40)^0.5+H79/(1+B40)^1.5+I79/(1+B40)^2.5+J79/(1+B40)^3.5+K79/(1+B40)^4.5+((K79*(1+B54))/(B40-B54))/(1+B40)^4.5-B14)/B10</f>
        <v/>
      </c>
    </row>
    <row r="119">
      <c r="A119" s="36" t="n">
        <v>0.03</v>
      </c>
      <c r="B119" s="34">
        <f>((((F58*(1+0.03))*0.12)*(1-B36)+(F58*(1+0.03))*B37+-(F58*(1+0.03))*B38+-((F58*(1+0.03))-F58)*B39)/(1+B40)^0.5+H79/(1+B40)^1.5+I79/(1+B40)^2.5+J79/(1+B40)^3.5+K79/(1+B40)^4.5+((K79*(1+B54))/(B40-B54))/(1+B40)^4.5-B14)/B10</f>
        <v/>
      </c>
      <c r="C119" s="34">
        <f>((((F58*(1+0.03))*0.13)*(1-B36)+(F58*(1+0.03))*B37+-(F58*(1+0.03))*B38+-((F58*(1+0.03))-F58)*B39)/(1+B40)^0.5+H79/(1+B40)^1.5+I79/(1+B40)^2.5+J79/(1+B40)^3.5+K79/(1+B40)^4.5+((K79*(1+B54))/(B40-B54))/(1+B40)^4.5-B14)/B10</f>
        <v/>
      </c>
      <c r="D119" s="34">
        <f>((((F58*(1+0.03))*0.14)*(1-B36)+(F58*(1+0.03))*B37+-(F58*(1+0.03))*B38+-((F58*(1+0.03))-F58)*B39)/(1+B40)^0.5+H79/(1+B40)^1.5+I79/(1+B40)^2.5+J79/(1+B40)^3.5+K79/(1+B40)^4.5+((K79*(1+B54))/(B40-B54))/(1+B40)^4.5-B14)/B10</f>
        <v/>
      </c>
      <c r="E119" s="34">
        <f>((((F58*(1+0.03))*0.15)*(1-B36)+(F58*(1+0.03))*B37+-(F58*(1+0.03))*B38+-((F58*(1+0.03))-F58)*B39)/(1+B40)^0.5+H79/(1+B40)^1.5+I79/(1+B40)^2.5+J79/(1+B40)^3.5+K79/(1+B40)^4.5+((K79*(1+B54))/(B40-B54))/(1+B40)^4.5-B14)/B10</f>
        <v/>
      </c>
      <c r="F119" s="34">
        <f>((((F58*(1+0.03))*0.16)*(1-B36)+(F58*(1+0.03))*B37+-(F58*(1+0.03))*B38+-((F58*(1+0.03))-F58)*B39)/(1+B40)^0.5+H79/(1+B40)^1.5+I79/(1+B40)^2.5+J79/(1+B40)^3.5+K79/(1+B40)^4.5+((K79*(1+B54))/(B40-B54))/(1+B40)^4.5-B14)/B10</f>
        <v/>
      </c>
    </row>
    <row r="120">
      <c r="A120" s="36" t="n">
        <v>0.04</v>
      </c>
      <c r="B120" s="34">
        <f>((((F58*(1+0.04))*0.12)*(1-B36)+(F58*(1+0.04))*B37+-(F58*(1+0.04))*B38+-((F58*(1+0.04))-F58)*B39)/(1+B40)^0.5+H79/(1+B40)^1.5+I79/(1+B40)^2.5+J79/(1+B40)^3.5+K79/(1+B40)^4.5+((K79*(1+B54))/(B40-B54))/(1+B40)^4.5-B14)/B10</f>
        <v/>
      </c>
      <c r="C120" s="34">
        <f>((((F58*(1+0.04))*0.13)*(1-B36)+(F58*(1+0.04))*B37+-(F58*(1+0.04))*B38+-((F58*(1+0.04))-F58)*B39)/(1+B40)^0.5+H79/(1+B40)^1.5+I79/(1+B40)^2.5+J79/(1+B40)^3.5+K79/(1+B40)^4.5+((K79*(1+B54))/(B40-B54))/(1+B40)^4.5-B14)/B10</f>
        <v/>
      </c>
      <c r="D120" s="34">
        <f>((((F58*(1+0.04))*0.14)*(1-B36)+(F58*(1+0.04))*B37+-(F58*(1+0.04))*B38+-((F58*(1+0.04))-F58)*B39)/(1+B40)^0.5+H79/(1+B40)^1.5+I79/(1+B40)^2.5+J79/(1+B40)^3.5+K79/(1+B40)^4.5+((K79*(1+B54))/(B40-B54))/(1+B40)^4.5-B14)/B10</f>
        <v/>
      </c>
      <c r="E120" s="34">
        <f>((((F58*(1+0.04))*0.15)*(1-B36)+(F58*(1+0.04))*B37+-(F58*(1+0.04))*B38+-((F58*(1+0.04))-F58)*B39)/(1+B40)^0.5+H79/(1+B40)^1.5+I79/(1+B40)^2.5+J79/(1+B40)^3.5+K79/(1+B40)^4.5+((K79*(1+B54))/(B40-B54))/(1+B40)^4.5-B14)/B10</f>
        <v/>
      </c>
      <c r="F120" s="34">
        <f>((((F58*(1+0.04))*0.16)*(1-B36)+(F58*(1+0.04))*B37+-(F58*(1+0.04))*B38+-((F58*(1+0.04))-F58)*B39)/(1+B40)^0.5+H79/(1+B40)^1.5+I79/(1+B40)^2.5+J79/(1+B40)^3.5+K79/(1+B40)^4.5+((K79*(1+B54))/(B40-B54))/(1+B40)^4.5-B14)/B10</f>
        <v/>
      </c>
    </row>
    <row r="123">
      <c r="A123" s="7" t="inlineStr">
        <is>
          <t>SENSITIVITY TABLE 3 — Implied Share Price: Beta vs Risk-Free Rate</t>
        </is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9" t="n"/>
    </row>
    <row r="124">
      <c r="A124" s="10" t="inlineStr">
        <is>
          <t>Beta  →  Risk-Free Rate</t>
        </is>
      </c>
      <c r="B124" s="36" t="n">
        <v>0.035</v>
      </c>
      <c r="C124" s="36" t="n">
        <v>0.045</v>
      </c>
      <c r="D124" s="36" t="n">
        <v>0.047</v>
      </c>
      <c r="E124" s="36" t="n">
        <v>0.055</v>
      </c>
      <c r="F124" s="36" t="n">
        <v>0.065</v>
      </c>
    </row>
    <row r="125">
      <c r="A125" s="37" t="n">
        <v>0.5</v>
      </c>
      <c r="B125" s="34">
        <f>(G79/(1+((B11/(B11+B14))*(0.035+0.5*0.05)+((B14/(B11+B14))*0.03375)))^0.5+H79/(1+((B11/(B11+B14))*(0.035+0.5*0.05)+((B14/(B11+B14))*0.03375)))^1.5+I79/(1+((B11/(B11+B14))*(0.035+0.5*0.05)+((B14/(B11+B14))*0.03375)))^2.5+J79/(1+((B11/(B11+B14))*(0.035+0.5*0.05)+((B14/(B11+B14))*0.03375)))^3.5+K79/(1+((B11/(B11+B14))*(0.035+0.5*0.05)+((B14/(B11+B14))*0.03375)))^4.5+((K79*(1+B54))/(((B11/(B11+B14))*(0.035+0.5*0.05)+((B14/(B11+B14))*0.03375))-B54))/(1+((B11/(B11+B14))*(0.035+0.5*0.05)+((B14/(B11+B14))*0.03375)))^4.5-B14)/B10</f>
        <v/>
      </c>
      <c r="C125" s="34">
        <f>(G79/(1+((B11/(B11+B14))*(0.045+0.5*0.05)+((B14/(B11+B14))*0.03375)))^0.5+H79/(1+((B11/(B11+B14))*(0.045+0.5*0.05)+((B14/(B11+B14))*0.03375)))^1.5+I79/(1+((B11/(B11+B14))*(0.045+0.5*0.05)+((B14/(B11+B14))*0.03375)))^2.5+J79/(1+((B11/(B11+B14))*(0.045+0.5*0.05)+((B14/(B11+B14))*0.03375)))^3.5+K79/(1+((B11/(B11+B14))*(0.045+0.5*0.05)+((B14/(B11+B14))*0.03375)))^4.5+((K79*(1+B54))/(((B11/(B11+B14))*(0.045+0.5*0.05)+((B14/(B11+B14))*0.03375))-B54))/(1+((B11/(B11+B14))*(0.045+0.5*0.05)+((B14/(B11+B14))*0.03375)))^4.5-B14)/B10</f>
        <v/>
      </c>
      <c r="D125" s="34">
        <f>(G79/(1+((B11/(B11+B14))*(0.047+0.5*0.05)+((B14/(B11+B14))*0.03375)))^0.5+H79/(1+((B11/(B11+B14))*(0.047+0.5*0.05)+((B14/(B11+B14))*0.03375)))^1.5+I79/(1+((B11/(B11+B14))*(0.047+0.5*0.05)+((B14/(B11+B14))*0.03375)))^2.5+J79/(1+((B11/(B11+B14))*(0.047+0.5*0.05)+((B14/(B11+B14))*0.03375)))^3.5+K79/(1+((B11/(B11+B14))*(0.047+0.5*0.05)+((B14/(B11+B14))*0.03375)))^4.5+((K79*(1+B54))/(((B11/(B11+B14))*(0.047+0.5*0.05)+((B14/(B11+B14))*0.03375))-B54))/(1+((B11/(B11+B14))*(0.047+0.5*0.05)+((B14/(B11+B14))*0.03375)))^4.5-B14)/B10</f>
        <v/>
      </c>
      <c r="E125" s="34">
        <f>(G79/(1+((B11/(B11+B14))*(0.055+0.5*0.05)+((B14/(B11+B14))*0.03375)))^0.5+H79/(1+((B11/(B11+B14))*(0.055+0.5*0.05)+((B14/(B11+B14))*0.03375)))^1.5+I79/(1+((B11/(B11+B14))*(0.055+0.5*0.05)+((B14/(B11+B14))*0.03375)))^2.5+J79/(1+((B11/(B11+B14))*(0.055+0.5*0.05)+((B14/(B11+B14))*0.03375)))^3.5+K79/(1+((B11/(B11+B14))*(0.055+0.5*0.05)+((B14/(B11+B14))*0.03375)))^4.5+((K79*(1+B54))/(((B11/(B11+B14))*(0.055+0.5*0.05)+((B14/(B11+B14))*0.03375))-B54))/(1+((B11/(B11+B14))*(0.055+0.5*0.05)+((B14/(B11+B14))*0.03375)))^4.5-B14)/B10</f>
        <v/>
      </c>
      <c r="F125" s="34">
        <f>(G79/(1+((B11/(B11+B14))*(0.065+0.5*0.05)+((B14/(B11+B14))*0.03375)))^0.5+H79/(1+((B11/(B11+B14))*(0.065+0.5*0.05)+((B14/(B11+B14))*0.03375)))^1.5+I79/(1+((B11/(B11+B14))*(0.065+0.5*0.05)+((B14/(B11+B14))*0.03375)))^2.5+J79/(1+((B11/(B11+B14))*(0.065+0.5*0.05)+((B14/(B11+B14))*0.03375)))^3.5+K79/(1+((B11/(B11+B14))*(0.065+0.5*0.05)+((B14/(B11+B14))*0.03375)))^4.5+((K79*(1+B54))/(((B11/(B11+B14))*(0.065+0.5*0.05)+((B14/(B11+B14))*0.03375))-B54))/(1+((B11/(B11+B14))*(0.065+0.5*0.05)+((B14/(B11+B14))*0.03375)))^4.5-B14)/B10</f>
        <v/>
      </c>
    </row>
    <row r="126">
      <c r="A126" s="37" t="n">
        <v>0.6</v>
      </c>
      <c r="B126" s="34">
        <f>(G79/(1+((B11/(B11+B14))*(0.035+0.6*0.05)+((B14/(B11+B14))*0.03375)))^0.5+H79/(1+((B11/(B11+B14))*(0.035+0.6*0.05)+((B14/(B11+B14))*0.03375)))^1.5+I79/(1+((B11/(B11+B14))*(0.035+0.6*0.05)+((B14/(B11+B14))*0.03375)))^2.5+J79/(1+((B11/(B11+B14))*(0.035+0.6*0.05)+((B14/(B11+B14))*0.03375)))^3.5+K79/(1+((B11/(B11+B14))*(0.035+0.6*0.05)+((B14/(B11+B14))*0.03375)))^4.5+((K79*(1+B54))/(((B11/(B11+B14))*(0.035+0.6*0.05)+((B14/(B11+B14))*0.03375))-B54))/(1+((B11/(B11+B14))*(0.035+0.6*0.05)+((B14/(B11+B14))*0.03375)))^4.5-B14)/B10</f>
        <v/>
      </c>
      <c r="C126" s="34">
        <f>(G79/(1+((B11/(B11+B14))*(0.045+0.6*0.05)+((B14/(B11+B14))*0.03375)))^0.5+H79/(1+((B11/(B11+B14))*(0.045+0.6*0.05)+((B14/(B11+B14))*0.03375)))^1.5+I79/(1+((B11/(B11+B14))*(0.045+0.6*0.05)+((B14/(B11+B14))*0.03375)))^2.5+J79/(1+((B11/(B11+B14))*(0.045+0.6*0.05)+((B14/(B11+B14))*0.03375)))^3.5+K79/(1+((B11/(B11+B14))*(0.045+0.6*0.05)+((B14/(B11+B14))*0.03375)))^4.5+((K79*(1+B54))/(((B11/(B11+B14))*(0.045+0.6*0.05)+((B14/(B11+B14))*0.03375))-B54))/(1+((B11/(B11+B14))*(0.045+0.6*0.05)+((B14/(B11+B14))*0.03375)))^4.5-B14)/B10</f>
        <v/>
      </c>
      <c r="D126" s="34">
        <f>(G79/(1+((B11/(B11+B14))*(0.047+0.6*0.05)+((B14/(B11+B14))*0.03375)))^0.5+H79/(1+((B11/(B11+B14))*(0.047+0.6*0.05)+((B14/(B11+B14))*0.03375)))^1.5+I79/(1+((B11/(B11+B14))*(0.047+0.6*0.05)+((B14/(B11+B14))*0.03375)))^2.5+J79/(1+((B11/(B11+B14))*(0.047+0.6*0.05)+((B14/(B11+B14))*0.03375)))^3.5+K79/(1+((B11/(B11+B14))*(0.047+0.6*0.05)+((B14/(B11+B14))*0.03375)))^4.5+((K79*(1+B54))/(((B11/(B11+B14))*(0.047+0.6*0.05)+((B14/(B11+B14))*0.03375))-B54))/(1+((B11/(B11+B14))*(0.047+0.6*0.05)+((B14/(B11+B14))*0.03375)))^4.5-B14)/B10</f>
        <v/>
      </c>
      <c r="E126" s="34">
        <f>(G79/(1+((B11/(B11+B14))*(0.055+0.6*0.05)+((B14/(B11+B14))*0.03375)))^0.5+H79/(1+((B11/(B11+B14))*(0.055+0.6*0.05)+((B14/(B11+B14))*0.03375)))^1.5+I79/(1+((B11/(B11+B14))*(0.055+0.6*0.05)+((B14/(B11+B14))*0.03375)))^2.5+J79/(1+((B11/(B11+B14))*(0.055+0.6*0.05)+((B14/(B11+B14))*0.03375)))^3.5+K79/(1+((B11/(B11+B14))*(0.055+0.6*0.05)+((B14/(B11+B14))*0.03375)))^4.5+((K79*(1+B54))/(((B11/(B11+B14))*(0.055+0.6*0.05)+((B14/(B11+B14))*0.03375))-B54))/(1+((B11/(B11+B14))*(0.055+0.6*0.05)+((B14/(B11+B14))*0.03375)))^4.5-B14)/B10</f>
        <v/>
      </c>
      <c r="F126" s="34">
        <f>(G79/(1+((B11/(B11+B14))*(0.065+0.6*0.05)+((B14/(B11+B14))*0.03375)))^0.5+H79/(1+((B11/(B11+B14))*(0.065+0.6*0.05)+((B14/(B11+B14))*0.03375)))^1.5+I79/(1+((B11/(B11+B14))*(0.065+0.6*0.05)+((B14/(B11+B14))*0.03375)))^2.5+J79/(1+((B11/(B11+B14))*(0.065+0.6*0.05)+((B14/(B11+B14))*0.03375)))^3.5+K79/(1+((B11/(B11+B14))*(0.065+0.6*0.05)+((B14/(B11+B14))*0.03375)))^4.5+((K79*(1+B54))/(((B11/(B11+B14))*(0.065+0.6*0.05)+((B14/(B11+B14))*0.03375))-B54))/(1+((B11/(B11+B14))*(0.065+0.6*0.05)+((B14/(B11+B14))*0.03375)))^4.5-B14)/B10</f>
        <v/>
      </c>
    </row>
    <row r="127">
      <c r="A127" s="37" t="n">
        <v>0.7</v>
      </c>
      <c r="B127" s="34">
        <f>(G79/(1+((B11/(B11+B14))*(0.035+0.7*0.05)+((B14/(B11+B14))*0.03375)))^0.5+H79/(1+((B11/(B11+B14))*(0.035+0.7*0.05)+((B14/(B11+B14))*0.03375)))^1.5+I79/(1+((B11/(B11+B14))*(0.035+0.7*0.05)+((B14/(B11+B14))*0.03375)))^2.5+J79/(1+((B11/(B11+B14))*(0.035+0.7*0.05)+((B14/(B11+B14))*0.03375)))^3.5+K79/(1+((B11/(B11+B14))*(0.035+0.7*0.05)+((B14/(B11+B14))*0.03375)))^4.5+((K79*(1+B54))/(((B11/(B11+B14))*(0.035+0.7*0.05)+((B14/(B11+B14))*0.03375))-B54))/(1+((B11/(B11+B14))*(0.035+0.7*0.05)+((B14/(B11+B14))*0.03375)))^4.5-B14)/B10</f>
        <v/>
      </c>
      <c r="C127" s="34">
        <f>(G79/(1+((B11/(B11+B14))*(0.045+0.7*0.05)+((B14/(B11+B14))*0.03375)))^0.5+H79/(1+((B11/(B11+B14))*(0.045+0.7*0.05)+((B14/(B11+B14))*0.03375)))^1.5+I79/(1+((B11/(B11+B14))*(0.045+0.7*0.05)+((B14/(B11+B14))*0.03375)))^2.5+J79/(1+((B11/(B11+B14))*(0.045+0.7*0.05)+((B14/(B11+B14))*0.03375)))^3.5+K79/(1+((B11/(B11+B14))*(0.045+0.7*0.05)+((B14/(B11+B14))*0.03375)))^4.5+((K79*(1+B54))/(((B11/(B11+B14))*(0.045+0.7*0.05)+((B14/(B11+B14))*0.03375))-B54))/(1+((B11/(B11+B14))*(0.045+0.7*0.05)+((B14/(B11+B14))*0.03375)))^4.5-B14)/B10</f>
        <v/>
      </c>
      <c r="D127" s="33">
        <f>(G79/(1+((B11/(B11+B14))*(0.047+0.7*0.05)+((B14/(B11+B14))*0.03375)))^0.5+H79/(1+((B11/(B11+B14))*(0.047+0.7*0.05)+((B14/(B11+B14))*0.03375)))^1.5+I79/(1+((B11/(B11+B14))*(0.047+0.7*0.05)+((B14/(B11+B14))*0.03375)))^2.5+J79/(1+((B11/(B11+B14))*(0.047+0.7*0.05)+((B14/(B11+B14))*0.03375)))^3.5+K79/(1+((B11/(B11+B14))*(0.047+0.7*0.05)+((B14/(B11+B14))*0.03375)))^4.5+((K79*(1+B54))/(((B11/(B11+B14))*(0.047+0.7*0.05)+((B14/(B11+B14))*0.03375))-B54))/(1+((B11/(B11+B14))*(0.047+0.7*0.05)+((B14/(B11+B14))*0.03375)))^4.5-B14)/B10</f>
        <v/>
      </c>
      <c r="E127" s="34">
        <f>(G79/(1+((B11/(B11+B14))*(0.055+0.7*0.05)+((B14/(B11+B14))*0.03375)))^0.5+H79/(1+((B11/(B11+B14))*(0.055+0.7*0.05)+((B14/(B11+B14))*0.03375)))^1.5+I79/(1+((B11/(B11+B14))*(0.055+0.7*0.05)+((B14/(B11+B14))*0.03375)))^2.5+J79/(1+((B11/(B11+B14))*(0.055+0.7*0.05)+((B14/(B11+B14))*0.03375)))^3.5+K79/(1+((B11/(B11+B14))*(0.055+0.7*0.05)+((B14/(B11+B14))*0.03375)))^4.5+((K79*(1+B54))/(((B11/(B11+B14))*(0.055+0.7*0.05)+((B14/(B11+B14))*0.03375))-B54))/(1+((B11/(B11+B14))*(0.055+0.7*0.05)+((B14/(B11+B14))*0.03375)))^4.5-B14)/B10</f>
        <v/>
      </c>
      <c r="F127" s="34">
        <f>(G79/(1+((B11/(B11+B14))*(0.065+0.7*0.05)+((B14/(B11+B14))*0.03375)))^0.5+H79/(1+((B11/(B11+B14))*(0.065+0.7*0.05)+((B14/(B11+B14))*0.03375)))^1.5+I79/(1+((B11/(B11+B14))*(0.065+0.7*0.05)+((B14/(B11+B14))*0.03375)))^2.5+J79/(1+((B11/(B11+B14))*(0.065+0.7*0.05)+((B14/(B11+B14))*0.03375)))^3.5+K79/(1+((B11/(B11+B14))*(0.065+0.7*0.05)+((B14/(B11+B14))*0.03375)))^4.5+((K79*(1+B54))/(((B11/(B11+B14))*(0.065+0.7*0.05)+((B14/(B11+B14))*0.03375))-B54))/(1+((B11/(B11+B14))*(0.065+0.7*0.05)+((B14/(B11+B14))*0.03375)))^4.5-B14)/B10</f>
        <v/>
      </c>
    </row>
    <row r="128">
      <c r="A128" s="37" t="n">
        <v>0.8</v>
      </c>
      <c r="B128" s="34">
        <f>(G79/(1+((B11/(B11+B14))*(0.035+0.8*0.05)+((B14/(B11+B14))*0.03375)))^0.5+H79/(1+((B11/(B11+B14))*(0.035+0.8*0.05)+((B14/(B11+B14))*0.03375)))^1.5+I79/(1+((B11/(B11+B14))*(0.035+0.8*0.05)+((B14/(B11+B14))*0.03375)))^2.5+J79/(1+((B11/(B11+B14))*(0.035+0.8*0.05)+((B14/(B11+B14))*0.03375)))^3.5+K79/(1+((B11/(B11+B14))*(0.035+0.8*0.05)+((B14/(B11+B14))*0.03375)))^4.5+((K79*(1+B54))/(((B11/(B11+B14))*(0.035+0.8*0.05)+((B14/(B11+B14))*0.03375))-B54))/(1+((B11/(B11+B14))*(0.035+0.8*0.05)+((B14/(B11+B14))*0.03375)))^4.5-B14)/B10</f>
        <v/>
      </c>
      <c r="C128" s="34">
        <f>(G79/(1+((B11/(B11+B14))*(0.045+0.8*0.05)+((B14/(B11+B14))*0.03375)))^0.5+H79/(1+((B11/(B11+B14))*(0.045+0.8*0.05)+((B14/(B11+B14))*0.03375)))^1.5+I79/(1+((B11/(B11+B14))*(0.045+0.8*0.05)+((B14/(B11+B14))*0.03375)))^2.5+J79/(1+((B11/(B11+B14))*(0.045+0.8*0.05)+((B14/(B11+B14))*0.03375)))^3.5+K79/(1+((B11/(B11+B14))*(0.045+0.8*0.05)+((B14/(B11+B14))*0.03375)))^4.5+((K79*(1+B54))/(((B11/(B11+B14))*(0.045+0.8*0.05)+((B14/(B11+B14))*0.03375))-B54))/(1+((B11/(B11+B14))*(0.045+0.8*0.05)+((B14/(B11+B14))*0.03375)))^4.5-B14)/B10</f>
        <v/>
      </c>
      <c r="D128" s="34">
        <f>(G79/(1+((B11/(B11+B14))*(0.047+0.8*0.05)+((B14/(B11+B14))*0.03375)))^0.5+H79/(1+((B11/(B11+B14))*(0.047+0.8*0.05)+((B14/(B11+B14))*0.03375)))^1.5+I79/(1+((B11/(B11+B14))*(0.047+0.8*0.05)+((B14/(B11+B14))*0.03375)))^2.5+J79/(1+((B11/(B11+B14))*(0.047+0.8*0.05)+((B14/(B11+B14))*0.03375)))^3.5+K79/(1+((B11/(B11+B14))*(0.047+0.8*0.05)+((B14/(B11+B14))*0.03375)))^4.5+((K79*(1+B54))/(((B11/(B11+B14))*(0.047+0.8*0.05)+((B14/(B11+B14))*0.03375))-B54))/(1+((B11/(B11+B14))*(0.047+0.8*0.05)+((B14/(B11+B14))*0.03375)))^4.5-B14)/B10</f>
        <v/>
      </c>
      <c r="E128" s="34">
        <f>(G79/(1+((B11/(B11+B14))*(0.055+0.8*0.05)+((B14/(B11+B14))*0.03375)))^0.5+H79/(1+((B11/(B11+B14))*(0.055+0.8*0.05)+((B14/(B11+B14))*0.03375)))^1.5+I79/(1+((B11/(B11+B14))*(0.055+0.8*0.05)+((B14/(B11+B14))*0.03375)))^2.5+J79/(1+((B11/(B11+B14))*(0.055+0.8*0.05)+((B14/(B11+B14))*0.03375)))^3.5+K79/(1+((B11/(B11+B14))*(0.055+0.8*0.05)+((B14/(B11+B14))*0.03375)))^4.5+((K79*(1+B54))/(((B11/(B11+B14))*(0.055+0.8*0.05)+((B14/(B11+B14))*0.03375))-B54))/(1+((B11/(B11+B14))*(0.055+0.8*0.05)+((B14/(B11+B14))*0.03375)))^4.5-B14)/B10</f>
        <v/>
      </c>
      <c r="F128" s="34">
        <f>(G79/(1+((B11/(B11+B14))*(0.065+0.8*0.05)+((B14/(B11+B14))*0.03375)))^0.5+H79/(1+((B11/(B11+B14))*(0.065+0.8*0.05)+((B14/(B11+B14))*0.03375)))^1.5+I79/(1+((B11/(B11+B14))*(0.065+0.8*0.05)+((B14/(B11+B14))*0.03375)))^2.5+J79/(1+((B11/(B11+B14))*(0.065+0.8*0.05)+((B14/(B11+B14))*0.03375)))^3.5+K79/(1+((B11/(B11+B14))*(0.065+0.8*0.05)+((B14/(B11+B14))*0.03375)))^4.5+((K79*(1+B54))/(((B11/(B11+B14))*(0.065+0.8*0.05)+((B14/(B11+B14))*0.03375))-B54))/(1+((B11/(B11+B14))*(0.065+0.8*0.05)+((B14/(B11+B14))*0.03375)))^4.5-B14)/B10</f>
        <v/>
      </c>
    </row>
    <row r="129">
      <c r="A129" s="37" t="n">
        <v>0.9</v>
      </c>
      <c r="B129" s="34">
        <f>(G79/(1+((B11/(B11+B14))*(0.035+0.9*0.05)+((B14/(B11+B14))*0.03375)))^0.5+H79/(1+((B11/(B11+B14))*(0.035+0.9*0.05)+((B14/(B11+B14))*0.03375)))^1.5+I79/(1+((B11/(B11+B14))*(0.035+0.9*0.05)+((B14/(B11+B14))*0.03375)))^2.5+J79/(1+((B11/(B11+B14))*(0.035+0.9*0.05)+((B14/(B11+B14))*0.03375)))^3.5+K79/(1+((B11/(B11+B14))*(0.035+0.9*0.05)+((B14/(B11+B14))*0.03375)))^4.5+((K79*(1+B54))/(((B11/(B11+B14))*(0.035+0.9*0.05)+((B14/(B11+B14))*0.03375))-B54))/(1+((B11/(B11+B14))*(0.035+0.9*0.05)+((B14/(B11+B14))*0.03375)))^4.5-B14)/B10</f>
        <v/>
      </c>
      <c r="C129" s="34">
        <f>(G79/(1+((B11/(B11+B14))*(0.045+0.9*0.05)+((B14/(B11+B14))*0.03375)))^0.5+H79/(1+((B11/(B11+B14))*(0.045+0.9*0.05)+((B14/(B11+B14))*0.03375)))^1.5+I79/(1+((B11/(B11+B14))*(0.045+0.9*0.05)+((B14/(B11+B14))*0.03375)))^2.5+J79/(1+((B11/(B11+B14))*(0.045+0.9*0.05)+((B14/(B11+B14))*0.03375)))^3.5+K79/(1+((B11/(B11+B14))*(0.045+0.9*0.05)+((B14/(B11+B14))*0.03375)))^4.5+((K79*(1+B54))/(((B11/(B11+B14))*(0.045+0.9*0.05)+((B14/(B11+B14))*0.03375))-B54))/(1+((B11/(B11+B14))*(0.045+0.9*0.05)+((B14/(B11+B14))*0.03375)))^4.5-B14)/B10</f>
        <v/>
      </c>
      <c r="D129" s="34">
        <f>(G79/(1+((B11/(B11+B14))*(0.047+0.9*0.05)+((B14/(B11+B14))*0.03375)))^0.5+H79/(1+((B11/(B11+B14))*(0.047+0.9*0.05)+((B14/(B11+B14))*0.03375)))^1.5+I79/(1+((B11/(B11+B14))*(0.047+0.9*0.05)+((B14/(B11+B14))*0.03375)))^2.5+J79/(1+((B11/(B11+B14))*(0.047+0.9*0.05)+((B14/(B11+B14))*0.03375)))^3.5+K79/(1+((B11/(B11+B14))*(0.047+0.9*0.05)+((B14/(B11+B14))*0.03375)))^4.5+((K79*(1+B54))/(((B11/(B11+B14))*(0.047+0.9*0.05)+((B14/(B11+B14))*0.03375))-B54))/(1+((B11/(B11+B14))*(0.047+0.9*0.05)+((B14/(B11+B14))*0.03375)))^4.5-B14)/B10</f>
        <v/>
      </c>
      <c r="E129" s="34">
        <f>(G79/(1+((B11/(B11+B14))*(0.055+0.9*0.05)+((B14/(B11+B14))*0.03375)))^0.5+H79/(1+((B11/(B11+B14))*(0.055+0.9*0.05)+((B14/(B11+B14))*0.03375)))^1.5+I79/(1+((B11/(B11+B14))*(0.055+0.9*0.05)+((B14/(B11+B14))*0.03375)))^2.5+J79/(1+((B11/(B11+B14))*(0.055+0.9*0.05)+((B14/(B11+B14))*0.03375)))^3.5+K79/(1+((B11/(B11+B14))*(0.055+0.9*0.05)+((B14/(B11+B14))*0.03375)))^4.5+((K79*(1+B54))/(((B11/(B11+B14))*(0.055+0.9*0.05)+((B14/(B11+B14))*0.03375))-B54))/(1+((B11/(B11+B14))*(0.055+0.9*0.05)+((B14/(B11+B14))*0.03375)))^4.5-B14)/B10</f>
        <v/>
      </c>
      <c r="F129" s="34">
        <f>(G79/(1+((B11/(B11+B14))*(0.065+0.9*0.05)+((B14/(B11+B14))*0.03375)))^0.5+H79/(1+((B11/(B11+B14))*(0.065+0.9*0.05)+((B14/(B11+B14))*0.03375)))^1.5+I79/(1+((B11/(B11+B14))*(0.065+0.9*0.05)+((B14/(B11+B14))*0.03375)))^2.5+J79/(1+((B11/(B11+B14))*(0.065+0.9*0.05)+((B14/(B11+B14))*0.03375)))^3.5+K79/(1+((B11/(B11+B14))*(0.065+0.9*0.05)+((B14/(B11+B14))*0.03375)))^4.5+((K79*(1+B54))/(((B11/(B11+B14))*(0.065+0.9*0.05)+((B14/(B11+B14))*0.03375))-B54))/(1+((B11/(B11+B14))*(0.065+0.9*0.05)+((B14/(B11+B14))*0.03375)))^4.5-B14)/B10</f>
        <v/>
      </c>
    </row>
  </sheetData>
  <mergeCells count="24">
    <mergeCell ref="A16:L16"/>
    <mergeCell ref="A7:L7"/>
    <mergeCell ref="C8:L8"/>
    <mergeCell ref="A56:L56"/>
    <mergeCell ref="A105:L105"/>
    <mergeCell ref="C13:L13"/>
    <mergeCell ref="A2:L2"/>
    <mergeCell ref="A42:L42"/>
    <mergeCell ref="A22:L22"/>
    <mergeCell ref="C14:L14"/>
    <mergeCell ref="A4:L4"/>
    <mergeCell ref="A28:L28"/>
    <mergeCell ref="A93:L93"/>
    <mergeCell ref="C10:L10"/>
    <mergeCell ref="A114:L114"/>
    <mergeCell ref="A34:L34"/>
    <mergeCell ref="A82:L82"/>
    <mergeCell ref="C5:E5"/>
    <mergeCell ref="C9:L9"/>
    <mergeCell ref="A1:L1"/>
    <mergeCell ref="A123:L123"/>
    <mergeCell ref="C12:L12"/>
    <mergeCell ref="A69:L69"/>
    <mergeCell ref="C11:L1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 ht="22" customHeight="1">
      <c r="A1" s="38" t="inlineStr">
        <is>
          <t>Ingredion (INGR) — WACC Calculation</t>
        </is>
      </c>
    </row>
    <row r="2">
      <c r="A2" s="2" t="inlineStr">
        <is>
          <t>As of: 2026-08-18  |  Source: StockAnalysis.com, FRED, Barchart</t>
        </is>
      </c>
    </row>
    <row r="4">
      <c r="A4" s="7" t="inlineStr">
        <is>
          <t>COST OF EQUITY (CAPM)</t>
        </is>
      </c>
      <c r="B4" s="8" t="n"/>
      <c r="C4" s="8" t="n"/>
      <c r="D4" s="9" t="n"/>
    </row>
    <row r="5">
      <c r="A5" s="10" t="inlineStr">
        <is>
          <t>Item</t>
        </is>
      </c>
      <c r="B5" s="11" t="inlineStr">
        <is>
          <t>Value</t>
        </is>
      </c>
      <c r="C5" s="12" t="inlineStr">
        <is>
          <t>Notes</t>
        </is>
      </c>
    </row>
    <row r="6">
      <c r="A6" s="13" t="inlineStr">
        <is>
          <t>Risk-Free Rate (10Y UST)</t>
        </is>
      </c>
      <c r="B6" s="21" t="n">
        <v>0.047</v>
      </c>
      <c r="C6" s="2" t="inlineStr">
        <is>
          <t>Source: FRED DGS10, 2026-08-11, https://fred.stlouisfed.org/series/DGS10</t>
        </is>
      </c>
    </row>
    <row r="7">
      <c r="A7" s="13" t="inlineStr">
        <is>
          <t>Beta (60-Month Monthly)</t>
        </is>
      </c>
      <c r="B7" s="39" t="n">
        <v>0.7</v>
      </c>
      <c r="C7" s="2" t="inlineStr">
        <is>
          <t>Source: Barchart.com, 2026-08-18, 60-month beta vs S&amp;P 500</t>
        </is>
      </c>
    </row>
    <row r="8">
      <c r="A8" s="13" t="inlineStr">
        <is>
          <t>Equity Risk Premium (ERP)</t>
        </is>
      </c>
      <c r="B8" s="21" t="n">
        <v>0.05</v>
      </c>
      <c r="C8" s="2" t="inlineStr">
        <is>
          <t>Source: Damodaran long-run ERP, 5.0% standard</t>
        </is>
      </c>
    </row>
    <row r="9">
      <c r="A9" s="16" t="inlineStr">
        <is>
          <t>Cost of Equity (Ke)</t>
        </is>
      </c>
      <c r="B9" s="35">
        <f>B6+B7*B8</f>
        <v/>
      </c>
      <c r="C9" s="2">
        <f> Rf + Beta × ERP</f>
        <v/>
      </c>
    </row>
    <row r="11">
      <c r="A11" s="7" t="inlineStr">
        <is>
          <t>COST OF DEBT</t>
        </is>
      </c>
      <c r="B11" s="8" t="n"/>
      <c r="C11" s="8" t="n"/>
      <c r="D11" s="9" t="n"/>
    </row>
    <row r="12">
      <c r="A12" s="10" t="inlineStr">
        <is>
          <t>Item</t>
        </is>
      </c>
      <c r="B12" s="11" t="inlineStr">
        <is>
          <t>Value</t>
        </is>
      </c>
      <c r="C12" s="12" t="inlineStr">
        <is>
          <t>Notes</t>
        </is>
      </c>
    </row>
    <row r="13">
      <c r="A13" s="13" t="inlineStr">
        <is>
          <t>Pre-Tax Cost of Debt (Kd)</t>
        </is>
      </c>
      <c r="B13" s="21" t="n">
        <v>0.045</v>
      </c>
      <c r="C13" s="2" t="inlineStr">
        <is>
          <t>Source: Market rate; BBB+ equiv + ~80bps spread over 10Y UST</t>
        </is>
      </c>
    </row>
    <row r="14">
      <c r="A14" s="13" t="inlineStr">
        <is>
          <t>Tax Rate</t>
        </is>
      </c>
      <c r="B14" s="21" t="n">
        <v>0.25</v>
      </c>
      <c r="C14" s="2" t="inlineStr">
        <is>
          <t>Source: Normalised; FY2022-2025 avg ~25.4%</t>
        </is>
      </c>
    </row>
    <row r="15">
      <c r="A15" s="16" t="inlineStr">
        <is>
          <t>After-Tax Cost of Debt</t>
        </is>
      </c>
      <c r="B15" s="35">
        <f>B13*(1-B14)</f>
        <v/>
      </c>
      <c r="C15" s="2">
        <f> Kd × (1 − Tax Rate)</f>
        <v/>
      </c>
    </row>
    <row r="17">
      <c r="A17" s="7" t="inlineStr">
        <is>
          <t>CAPITAL STRUCTURE</t>
        </is>
      </c>
      <c r="B17" s="8" t="n"/>
      <c r="C17" s="8" t="n"/>
      <c r="D17" s="9" t="n"/>
    </row>
    <row r="18">
      <c r="A18" s="10" t="inlineStr">
        <is>
          <t>Item</t>
        </is>
      </c>
      <c r="B18" s="11" t="inlineStr">
        <is>
          <t>Value ($M)</t>
        </is>
      </c>
      <c r="C18" s="12" t="inlineStr">
        <is>
          <t>Notes</t>
        </is>
      </c>
    </row>
    <row r="19">
      <c r="A19" s="13" t="inlineStr">
        <is>
          <t>Current Stock Price</t>
        </is>
      </c>
      <c r="B19" s="14" t="n">
        <v>103.59</v>
      </c>
      <c r="C19" s="2" t="inlineStr">
        <is>
          <t>Source: StockAnalysis.com, NYSE close 2026-08-17</t>
        </is>
      </c>
    </row>
    <row r="20">
      <c r="A20" s="13" t="inlineStr">
        <is>
          <t>Diluted Shares Outstanding (M)</t>
        </is>
      </c>
      <c r="B20" s="15" t="n">
        <v>64</v>
      </c>
      <c r="C20" s="2" t="inlineStr">
        <is>
          <t>Source: StockAnalysis.com TTM diluted shares</t>
        </is>
      </c>
    </row>
    <row r="21">
      <c r="A21" s="16" t="inlineStr">
        <is>
          <t>Market Capitalisation ($M)</t>
        </is>
      </c>
      <c r="B21" s="17">
        <f>B19*B20</f>
        <v/>
      </c>
      <c r="C21" s="2">
        <f> Price × Shares</f>
        <v/>
      </c>
    </row>
    <row r="22">
      <c r="A22" s="13" t="inlineStr">
        <is>
          <t>Total Debt ($M)</t>
        </is>
      </c>
      <c r="B22" s="18" t="n">
        <v>1971</v>
      </c>
      <c r="C22" s="2" t="inlineStr">
        <is>
          <t>Source: StockAnalysis.com balance sheet FY2025A</t>
        </is>
      </c>
    </row>
    <row r="23">
      <c r="A23" s="13" t="inlineStr">
        <is>
          <t>Cash &amp; Equivalents ($M)</t>
        </is>
      </c>
      <c r="B23" s="18" t="n">
        <v>1030</v>
      </c>
      <c r="C23" s="2" t="inlineStr">
        <is>
          <t>Source: StockAnalysis.com balance sheet FY2025A</t>
        </is>
      </c>
    </row>
    <row r="24">
      <c r="A24" s="16" t="inlineStr">
        <is>
          <t>Net Debt ($M)</t>
        </is>
      </c>
      <c r="B24" s="17">
        <f>B22-B23</f>
        <v/>
      </c>
      <c r="C24" s="2">
        <f> Total Debt − Cash</f>
        <v/>
      </c>
    </row>
    <row r="25">
      <c r="A25" s="16" t="inlineStr">
        <is>
          <t>Enterprise Value ($M)</t>
        </is>
      </c>
      <c r="B25" s="19">
        <f>B21+B24</f>
        <v/>
      </c>
      <c r="C25" s="2">
        <f> Market Cap + Net Debt</f>
        <v/>
      </c>
    </row>
    <row r="27">
      <c r="A27" s="7" t="inlineStr">
        <is>
          <t>WACC CALCULATION</t>
        </is>
      </c>
      <c r="B27" s="8" t="n"/>
      <c r="C27" s="8" t="n"/>
      <c r="D27" s="9" t="n"/>
    </row>
    <row r="28">
      <c r="A28" s="10" t="inlineStr">
        <is>
          <t>Component</t>
        </is>
      </c>
      <c r="B28" s="11" t="inlineStr">
        <is>
          <t>Weight</t>
        </is>
      </c>
      <c r="C28" s="11" t="inlineStr">
        <is>
          <t>Cost</t>
        </is>
      </c>
      <c r="D28" s="11" t="inlineStr">
        <is>
          <t>Contribution</t>
        </is>
      </c>
    </row>
    <row r="29">
      <c r="A29" s="16" t="inlineStr">
        <is>
          <t>Equity</t>
        </is>
      </c>
      <c r="B29" s="40">
        <f>B21/B25</f>
        <v/>
      </c>
      <c r="C29" s="41">
        <f>B9</f>
        <v/>
      </c>
      <c r="D29" s="40">
        <f>B29*C29</f>
        <v/>
      </c>
    </row>
    <row r="30">
      <c r="A30" s="16" t="inlineStr">
        <is>
          <t>Net Debt (after-tax)</t>
        </is>
      </c>
      <c r="B30" s="40">
        <f>B24/B25</f>
        <v/>
      </c>
      <c r="C30" s="41">
        <f>B15</f>
        <v/>
      </c>
      <c r="D30" s="40">
        <f>B30*C30</f>
        <v/>
      </c>
    </row>
    <row r="32">
      <c r="A32" s="6" t="inlineStr">
        <is>
          <t>WACC</t>
        </is>
      </c>
      <c r="D32" s="35">
        <f>D29+D30</f>
        <v/>
      </c>
    </row>
  </sheetData>
  <mergeCells count="24">
    <mergeCell ref="A17:D17"/>
    <mergeCell ref="C6:D6"/>
    <mergeCell ref="C24:D24"/>
    <mergeCell ref="C15:D15"/>
    <mergeCell ref="A4:D4"/>
    <mergeCell ref="C5:D5"/>
    <mergeCell ref="C14:D14"/>
    <mergeCell ref="C20:D20"/>
    <mergeCell ref="A32:C32"/>
    <mergeCell ref="C25:D25"/>
    <mergeCell ref="C22:D22"/>
    <mergeCell ref="A11:D11"/>
    <mergeCell ref="C9:D9"/>
    <mergeCell ref="A1:D1"/>
    <mergeCell ref="C12:D12"/>
    <mergeCell ref="C21:D21"/>
    <mergeCell ref="C23:D23"/>
    <mergeCell ref="C8:D8"/>
    <mergeCell ref="A27:D27"/>
    <mergeCell ref="C7:D7"/>
    <mergeCell ref="C19:D19"/>
    <mergeCell ref="C13:D13"/>
    <mergeCell ref="A2:D2"/>
    <mergeCell ref="C18:D1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2026-08-18T05:18:50Z</dcterms:created>
  <dcterms:modified xmlns:dcterms="http://purl.org/dc/terms/" xmlns:xsi="http://www.w3.org/2001/XMLSchema-instance" xsi:type="dcterms:W3CDTF">2026-08-18T05:18:50Z</dcterms:modified>
</cp:coreProperties>
</file>