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;($#,##0.00);&quot;-&quot;"/>
    <numFmt numFmtId="165" formatCode="$#,##0.0;($#,##0.0);&quot;-&quot;"/>
    <numFmt numFmtId="166" formatCode="0.0%"/>
    <numFmt numFmtId="167" formatCode="0.000"/>
    <numFmt numFmtId="168" formatCode="+0.0%;-0.0%;0.0%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00"/>
      <sz val="10"/>
    </font>
    <font>
      <name val="Calibri"/>
      <color rgb="00008000"/>
      <sz val="10"/>
    </font>
    <font>
      <name val="Calibri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8" fillId="6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right" vertical="center"/>
    </xf>
    <xf numFmtId="2" fontId="5" fillId="3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10" fontId="5" fillId="3" borderId="0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166" fontId="5" fillId="3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6" fontId="6" fillId="4" borderId="2" applyAlignment="1" pivotButton="0" quotePrefix="0" xfId="0">
      <alignment horizontal="right" vertical="center"/>
    </xf>
    <xf numFmtId="166" fontId="8" fillId="3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5" fontId="6" fillId="5" borderId="3" applyAlignment="1" pivotButton="0" quotePrefix="0" xfId="0">
      <alignment horizontal="right" vertical="center"/>
    </xf>
    <xf numFmtId="2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0" fontId="6" fillId="5" borderId="3" applyAlignment="1" pivotButton="0" quotePrefix="0" xfId="0">
      <alignment horizontal="left" vertical="center"/>
    </xf>
    <xf numFmtId="164" fontId="6" fillId="5" borderId="3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6" fontId="6" fillId="4" borderId="0" applyAlignment="1" pivotButton="0" quotePrefix="0" xfId="0">
      <alignment horizontal="right" vertical="center"/>
    </xf>
    <xf numFmtId="166" fontId="6" fillId="4" borderId="2" applyAlignment="1" pivotButton="0" quotePrefix="0" xfId="0">
      <alignment horizontal="center" vertical="center" wrapText="1"/>
    </xf>
    <xf numFmtId="166" fontId="6" fillId="5" borderId="2" applyAlignment="1" pivotButton="0" quotePrefix="0" xfId="0">
      <alignment horizontal="center" vertical="center" wrapText="1"/>
    </xf>
    <xf numFmtId="10" fontId="5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right" vertical="center"/>
    </xf>
    <xf numFmtId="10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right" vertical="center"/>
    </xf>
    <xf numFmtId="168" fontId="5" fillId="3" borderId="2" applyAlignment="1" pivotButton="0" quotePrefix="0" xfId="0">
      <alignment horizontal="center" vertical="center" wrapText="1"/>
    </xf>
    <xf numFmtId="168" fontId="6" fillId="5" borderId="2" applyAlignment="1" pivotButton="0" quotePrefix="0" xfId="0">
      <alignment horizontal="center" vertical="center" wrapText="1"/>
    </xf>
    <xf numFmtId="10" fontId="6" fillId="4" borderId="2" applyAlignment="1" pivotButton="0" quotePrefix="0" xfId="0">
      <alignment horizontal="center" vertical="center" wrapText="1"/>
    </xf>
    <xf numFmtId="2" fontId="5" fillId="3" borderId="2" applyAlignment="1" pivotButton="0" quotePrefix="0" xfId="0">
      <alignment horizontal="center" vertical="center" wrapText="1"/>
    </xf>
    <xf numFmtId="2" fontId="6" fillId="5" borderId="2" applyAlignment="1" pivotButton="0" quotePrefix="0" xfId="0">
      <alignment horizontal="center" vertical="center" wrapText="1"/>
    </xf>
    <xf numFmtId="10" fontId="6" fillId="4" borderId="1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2" fontId="7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0" fontId="4" fillId="0" borderId="2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0" fontId="6" fillId="5" borderId="3" pivotButton="0" quotePrefix="0" xfId="0"/>
    <xf numFmtId="10" fontId="6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Equity Research</author>
  </authors>
  <commentList>
    <comment ref="B5" authorId="0" shapeId="0">
      <text>
        <t>Case Selector: Enter 1 for Bear Case, 2 for Base Case, 3 for Bull Case</t>
      </text>
    </comment>
    <comment ref="B9" authorId="0" shapeId="0">
      <text>
        <t>Source: NASDAQ: REAL Close Price August 2026</t>
      </text>
    </comment>
    <comment ref="B10" authorId="0" shapeId="0">
      <text>
        <t>Source: Q2 2026 10-Q Diluted Share Count</t>
      </text>
    </comment>
    <comment ref="B16" authorId="0" shapeId="0">
      <text>
        <t>Source: Long-term normalized GDP/inflation growth expectation (2.5%)</t>
      </text>
    </comment>
    <comment ref="B20" authorId="0" shapeId="0">
      <text>
        <t>Source: Conservative luxury resale deceleration scenario</t>
      </text>
    </comment>
    <comment ref="B21" authorId="0" shapeId="0">
      <text>
        <t>Source: Direct consignment margin under promotional pricing</t>
      </text>
    </comment>
    <comment ref="B22" authorId="0" shapeId="0">
      <text>
        <t>Source: Slower operating leverage under low revenue growth</t>
      </text>
    </comment>
    <comment ref="B23" authorId="0" shapeId="0">
      <text>
        <t>Source: Fixed asset depreciation schedule</t>
      </text>
    </comment>
    <comment ref="B24" authorId="0" shapeId="0">
      <text>
        <t>Source: Store maintenance and tech infrastructure</t>
      </text>
    </comment>
    <comment ref="B25" authorId="0" shapeId="0">
      <text>
        <t>Source: Consignment working capital requirement</t>
      </text>
    </comment>
    <comment ref="B29" authorId="0" shapeId="0">
      <text>
        <t>Source: FY26 Guidance Midpoint ($792.5M, +14.4% YoY) &amp; Normalized Convergence</t>
      </text>
    </comment>
    <comment ref="B30" authorId="0" shapeId="0">
      <text>
        <t>Source: Higher take-rate and direct consignment mix</t>
      </text>
    </comment>
    <comment ref="B31" authorId="0" shapeId="0">
      <text>
        <t>Source: Q2 2026 Guidance ($67.5M Adj. EBITDA - $34M D&amp;A) &amp; Scale Leverage</t>
      </text>
    </comment>
    <comment ref="B32" authorId="0" shapeId="0">
      <text>
        <t>Source: D&amp;A guidance ~$34M in FY26</t>
      </text>
    </comment>
    <comment ref="B33" authorId="0" shapeId="0">
      <text>
        <t>Source: CapEx guidance ~$35M in FY26</t>
      </text>
    </comment>
    <comment ref="B34" authorId="0" shapeId="0">
      <text>
        <t>Source: Asset-light consignment inventory model</t>
      </text>
    </comment>
    <comment ref="B38" authorId="0" shapeId="0">
      <text>
        <t>Source: Bullish luxury consignment GMV expansion +20%+</t>
      </text>
    </comment>
    <comment ref="B39" authorId="0" shapeId="0">
      <text>
        <t>Source: High-value watches/jewelry mix expansion</t>
      </text>
    </comment>
    <comment ref="B40" authorId="0" shapeId="0">
      <text>
        <t>Source: Significant AI inspection and authentication operational savings</t>
      </text>
    </comment>
    <comment ref="B41" authorId="0" shapeId="0">
      <text>
        <t>Source: Fixed asset scale leverage</t>
      </text>
    </comment>
    <comment ref="B42" authorId="0" shapeId="0">
      <text>
        <t>Source: Efficient platform development</t>
      </text>
    </comment>
    <comment ref="B43" authorId="0" shapeId="0">
      <text>
        <t>Source: Rapid inventory turnaround</t>
      </text>
    </comment>
    <comment ref="B53" authorId="0" shapeId="0">
      <text>
        <t>Source: US Federal Statutory (21%) + State (4%) blended marginal tax rate</t>
      </text>
    </comment>
    <comment ref="B57" authorId="0" shapeId="0">
      <text>
        <t>Source: FY2024 Form 10-K Consolidated Statements of Operations</t>
      </text>
    </comment>
    <comment ref="C57" authorId="0" shapeId="0">
      <text>
        <t>Source: FY2024 Form 10-K Consolidated Statements of Operations</t>
      </text>
    </comment>
    <comment ref="D57" authorId="0" shapeId="0">
      <text>
        <t>Source: FY2025 Form 10-K / Q4 2025 Earnings Release</t>
      </text>
    </comment>
    <comment ref="B59" authorId="0" shapeId="0">
      <text>
        <t>Source: FY2024 10-K Gross Profit</t>
      </text>
    </comment>
    <comment ref="C59" authorId="0" shapeId="0">
      <text>
        <t>Source: FY2024 10-K Gross Profit</t>
      </text>
    </comment>
    <comment ref="D59" authorId="0" shapeId="0">
      <text>
        <t>Source: FY2025 10-K Gross Profit</t>
      </text>
    </comment>
    <comment ref="B61" authorId="0" shapeId="0">
      <text>
        <t>Source: FY2024 10-K Operating Expenses</t>
      </text>
    </comment>
    <comment ref="C61" authorId="0" shapeId="0">
      <text>
        <t>Source: FY2024 10-K Operating Expenses</t>
      </text>
    </comment>
    <comment ref="D61" authorId="0" shapeId="0">
      <text>
        <t>Source: FY2025 10-K Operating Expenses</t>
      </text>
    </comment>
    <comment ref="B63" authorId="0" shapeId="0">
      <text>
        <t>Source: FY2024 10-K Operating Loss</t>
      </text>
    </comment>
    <comment ref="C63" authorId="0" shapeId="0">
      <text>
        <t>Source: FY2024 10-K Operating Loss</t>
      </text>
    </comment>
    <comment ref="D63" authorId="0" shapeId="0">
      <text>
        <t>Source: FY2025 10-K Operating Loss</t>
      </text>
    </comment>
    <comment ref="B71" authorId="0" shapeId="0">
      <text>
        <t>Source: FY2024 10-K Cash Flow Statement D&amp;A</t>
      </text>
    </comment>
    <comment ref="C71" authorId="0" shapeId="0">
      <text>
        <t>Source: FY2024 10-K Cash Flow Statement D&amp;A</t>
      </text>
    </comment>
    <comment ref="D71" authorId="0" shapeId="0">
      <text>
        <t>Source: FY2025 10-K Cash Flow Statement D&amp;A</t>
      </text>
    </comment>
    <comment ref="B73" authorId="0" shapeId="0">
      <text>
        <t>Source: FY2024 10-K CapEx</t>
      </text>
    </comment>
    <comment ref="C73" authorId="0" shapeId="0">
      <text>
        <t>Source: FY2024 10-K CapEx</t>
      </text>
    </comment>
    <comment ref="D73" authorId="0" shapeId="0">
      <text>
        <t>Source: FY2025 10-K CapEx</t>
      </text>
    </comment>
    <comment ref="B77" authorId="0" shapeId="0">
      <text>
        <t>Source: FY2023 Reported FCF (Operating CF - CapEx)</t>
      </text>
    </comment>
    <comment ref="C77" authorId="0" shapeId="0">
      <text>
        <t>Source: FY2024 Reported FCF</t>
      </text>
    </comment>
    <comment ref="D77" authorId="0" shapeId="0">
      <text>
        <t>Source: FY2025 Reported FCF</t>
      </text>
    </comment>
  </commentList>
</comments>
</file>

<file path=xl/comments/comment2.xml><?xml version="1.0" encoding="utf-8"?>
<comments xmlns="http://schemas.openxmlformats.org/spreadsheetml/2006/main">
  <authors>
    <author>Equity Research</author>
  </authors>
  <commentList>
    <comment ref="B5" authorId="0" shapeId="0">
      <text>
        <t>Source: US 10-Year Treasury Yield, August 19, 2026</t>
      </text>
    </comment>
    <comment ref="B6" authorId="0" shapeId="0">
      <text>
        <t>Source: Bloomberg/MarketBeat 5Y Monthly Beta &amp; De-leveraging adjustment</t>
      </text>
    </comment>
    <comment ref="B7" authorId="0" shapeId="0">
      <text>
        <t>Source: Damodaran / Duff &amp; Phelps US Equity Risk Premium 2026</t>
      </text>
    </comment>
    <comment ref="B11" authorId="0" shapeId="0">
      <text>
        <t>Source: REAL Convertible Notes &amp; Notes blended yield, Q2 2026 10-Q</t>
      </text>
    </comment>
    <comment ref="B19" authorId="0" shapeId="0">
      <text>
        <t>Source: Q2 2026 10-Q Balance Sheet ($231.5M Convertible Notes + $144.3M Notes)</t>
      </text>
    </comment>
    <comment ref="B20" authorId="0" shapeId="0">
      <text>
        <t>Source: Q2 2026 10-Q Balance Sheet Cash &amp; Equivalents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THE REALREAL, INC. (NASDAQ: REAL) - DISCOUNTED CASH FLOW VALUATION MODEL</t>
        </is>
      </c>
    </row>
    <row r="2">
      <c r="A2" s="2" t="inlineStr">
        <is>
          <t>Ticker: REAL | Valuation Date: August 19, 2026 | FYE: Dec 31 | Units: USD Millions ($M) except per share</t>
        </is>
      </c>
    </row>
    <row r="4">
      <c r="A4" s="3" t="inlineStr">
        <is>
          <t>SCENARIO SELECTOR</t>
        </is>
      </c>
    </row>
    <row r="5">
      <c r="A5" s="4" t="inlineStr">
        <is>
          <t>Case Selector [1 = Bear, 2 = Base, 3 = Bull]:</t>
        </is>
      </c>
      <c r="B5" s="5" t="n">
        <v>2</v>
      </c>
    </row>
    <row r="6">
      <c r="A6" s="4" t="inlineStr">
        <is>
          <t>Active Selected Scenario:</t>
        </is>
      </c>
      <c r="B6" s="6">
        <f>IF(B5=1,"Bear Case",IF(B5=2,"Base Case","Bull Case"))</f>
        <v/>
      </c>
    </row>
    <row r="8">
      <c r="A8" s="3" t="inlineStr">
        <is>
          <t>MARKET DATA &amp; VALUATION PARAMETERS</t>
        </is>
      </c>
    </row>
    <row r="9">
      <c r="A9" s="7" t="inlineStr">
        <is>
          <t>Current Stock Price ($)</t>
        </is>
      </c>
      <c r="B9" s="8" t="n">
        <v>11.2</v>
      </c>
    </row>
    <row r="10">
      <c r="A10" s="7" t="inlineStr">
        <is>
          <t>Diluted Shares Outstanding (M)</t>
        </is>
      </c>
      <c r="B10" s="9" t="n">
        <v>121.67</v>
      </c>
    </row>
    <row r="11">
      <c r="A11" s="10" t="inlineStr">
        <is>
          <t>Market Capitalization ($M)</t>
        </is>
      </c>
      <c r="B11" s="11">
        <f>B9*B10</f>
        <v/>
      </c>
    </row>
    <row r="12">
      <c r="A12" s="7" t="inlineStr">
        <is>
          <t>Total Debt ($M)</t>
        </is>
      </c>
      <c r="B12" s="12">
        <f>WACC!$B$19</f>
        <v/>
      </c>
    </row>
    <row r="13">
      <c r="A13" s="7" t="inlineStr">
        <is>
          <t>Cash &amp; Cash Equivalents ($M)</t>
        </is>
      </c>
      <c r="B13" s="12">
        <f>WACC!$B$20</f>
        <v/>
      </c>
    </row>
    <row r="14">
      <c r="A14" s="10" t="inlineStr">
        <is>
          <t>Net Debt ($M) [Total Debt - Cash]</t>
        </is>
      </c>
      <c r="B14" s="11">
        <f>B12-B13</f>
        <v/>
      </c>
    </row>
    <row r="15">
      <c r="A15" s="10" t="inlineStr">
        <is>
          <t>Baseline WACC (Discount Rate)</t>
        </is>
      </c>
      <c r="B15" s="13">
        <f>WACC!$B$30</f>
        <v/>
      </c>
    </row>
    <row r="16">
      <c r="A16" s="7" t="inlineStr">
        <is>
          <t>Terminal Growth Rate (g)</t>
        </is>
      </c>
      <c r="B16" s="14" t="n">
        <v>0.025</v>
      </c>
    </row>
    <row r="18">
      <c r="A18" s="3" t="inlineStr">
        <is>
          <t>BEAR CASE ASSUMPTIONS (Scenario 1 - Macro Slowdown &amp; High Friction)</t>
        </is>
      </c>
    </row>
    <row r="19">
      <c r="A19" s="15" t="inlineStr">
        <is>
          <t>Assumption</t>
        </is>
      </c>
      <c r="B19" s="16" t="inlineStr">
        <is>
          <t>FY2026E</t>
        </is>
      </c>
      <c r="C19" s="16" t="inlineStr">
        <is>
          <t>FY2027E</t>
        </is>
      </c>
      <c r="D19" s="16" t="inlineStr">
        <is>
          <t>FY2028E</t>
        </is>
      </c>
      <c r="E19" s="16" t="inlineStr">
        <is>
          <t>FY2029E</t>
        </is>
      </c>
      <c r="F19" s="16" t="inlineStr">
        <is>
          <t>FY2030E</t>
        </is>
      </c>
    </row>
    <row r="20">
      <c r="A20" s="17" t="inlineStr">
        <is>
          <t>Revenue Growth Rate (%)</t>
        </is>
      </c>
      <c r="B20" s="18" t="n">
        <v>0.1</v>
      </c>
      <c r="C20" s="18" t="n">
        <v>0.07000000000000001</v>
      </c>
      <c r="D20" s="18" t="n">
        <v>0.05</v>
      </c>
      <c r="E20" s="18" t="n">
        <v>0.04</v>
      </c>
      <c r="F20" s="18" t="n">
        <v>0.03</v>
      </c>
    </row>
    <row r="21">
      <c r="A21" s="17" t="inlineStr">
        <is>
          <t>Gross Margin (%)</t>
        </is>
      </c>
      <c r="B21" s="18" t="n">
        <v>0.745</v>
      </c>
      <c r="C21" s="18" t="n">
        <v>0.745</v>
      </c>
      <c r="D21" s="18" t="n">
        <v>0.742</v>
      </c>
      <c r="E21" s="18" t="n">
        <v>0.74</v>
      </c>
      <c r="F21" s="18" t="n">
        <v>0.74</v>
      </c>
    </row>
    <row r="22">
      <c r="A22" s="17" t="inlineStr">
        <is>
          <t>EBIT Margin (%)</t>
        </is>
      </c>
      <c r="B22" s="18" t="n">
        <v>0.025</v>
      </c>
      <c r="C22" s="18" t="n">
        <v>0.03</v>
      </c>
      <c r="D22" s="18" t="n">
        <v>0.038</v>
      </c>
      <c r="E22" s="18" t="n">
        <v>0.045</v>
      </c>
      <c r="F22" s="18" t="n">
        <v>0.05</v>
      </c>
    </row>
    <row r="23">
      <c r="A23" s="17" t="inlineStr">
        <is>
          <t>D&amp;A (% of Revenue)</t>
        </is>
      </c>
      <c r="B23" s="18" t="n">
        <v>0.045</v>
      </c>
      <c r="C23" s="18" t="n">
        <v>0.042</v>
      </c>
      <c r="D23" s="18" t="n">
        <v>0.04</v>
      </c>
      <c r="E23" s="18" t="n">
        <v>0.038</v>
      </c>
      <c r="F23" s="18" t="n">
        <v>0.038</v>
      </c>
    </row>
    <row r="24">
      <c r="A24" s="17" t="inlineStr">
        <is>
          <t>CapEx (% of Revenue)</t>
        </is>
      </c>
      <c r="B24" s="18" t="n">
        <v>0.046</v>
      </c>
      <c r="C24" s="18" t="n">
        <v>0.044</v>
      </c>
      <c r="D24" s="18" t="n">
        <v>0.042</v>
      </c>
      <c r="E24" s="18" t="n">
        <v>0.04</v>
      </c>
      <c r="F24" s="18" t="n">
        <v>0.038</v>
      </c>
    </row>
    <row r="25">
      <c r="A25" s="17" t="inlineStr">
        <is>
          <t>NWC Change (% of Δ Revenue)</t>
        </is>
      </c>
      <c r="B25" s="18" t="n">
        <v>0.025</v>
      </c>
      <c r="C25" s="18" t="n">
        <v>0.025</v>
      </c>
      <c r="D25" s="18" t="n">
        <v>0.025</v>
      </c>
      <c r="E25" s="18" t="n">
        <v>0.025</v>
      </c>
      <c r="F25" s="18" t="n">
        <v>0.025</v>
      </c>
    </row>
    <row r="27">
      <c r="A27" s="3" t="inlineStr">
        <is>
          <t>BASE CASE ASSUMPTIONS (Scenario 2 - Consensus &amp; Management Guidance)</t>
        </is>
      </c>
    </row>
    <row r="28">
      <c r="A28" s="15" t="inlineStr">
        <is>
          <t>Assumption</t>
        </is>
      </c>
      <c r="B28" s="16" t="inlineStr">
        <is>
          <t>FY2026E</t>
        </is>
      </c>
      <c r="C28" s="16" t="inlineStr">
        <is>
          <t>FY2027E</t>
        </is>
      </c>
      <c r="D28" s="16" t="inlineStr">
        <is>
          <t>FY2028E</t>
        </is>
      </c>
      <c r="E28" s="16" t="inlineStr">
        <is>
          <t>FY2029E</t>
        </is>
      </c>
      <c r="F28" s="16" t="inlineStr">
        <is>
          <t>FY2030E</t>
        </is>
      </c>
    </row>
    <row r="29">
      <c r="A29" s="17" t="inlineStr">
        <is>
          <t>Revenue Growth Rate (%)</t>
        </is>
      </c>
      <c r="B29" s="18" t="n">
        <v>0.14374</v>
      </c>
      <c r="C29" s="18" t="n">
        <v>0.12</v>
      </c>
      <c r="D29" s="18" t="n">
        <v>0.1</v>
      </c>
      <c r="E29" s="18" t="n">
        <v>0.08</v>
      </c>
      <c r="F29" s="18" t="n">
        <v>0.06</v>
      </c>
    </row>
    <row r="30">
      <c r="A30" s="17" t="inlineStr">
        <is>
          <t>Gross Margin (%)</t>
        </is>
      </c>
      <c r="B30" s="18" t="n">
        <v>0.755</v>
      </c>
      <c r="C30" s="18" t="n">
        <v>0.76</v>
      </c>
      <c r="D30" s="18" t="n">
        <v>0.765</v>
      </c>
      <c r="E30" s="18" t="n">
        <v>0.77</v>
      </c>
      <c r="F30" s="18" t="n">
        <v>0.775</v>
      </c>
    </row>
    <row r="31">
      <c r="A31" s="17" t="inlineStr">
        <is>
          <t>EBIT Margin (%)</t>
        </is>
      </c>
      <c r="B31" s="18" t="n">
        <v>0.04227</v>
      </c>
      <c r="C31" s="18" t="n">
        <v>0.065</v>
      </c>
      <c r="D31" s="18" t="n">
        <v>0.08500000000000001</v>
      </c>
      <c r="E31" s="18" t="n">
        <v>0.1</v>
      </c>
      <c r="F31" s="18" t="n">
        <v>0.11</v>
      </c>
    </row>
    <row r="32">
      <c r="A32" s="17" t="inlineStr">
        <is>
          <t>D&amp;A (% of Revenue)</t>
        </is>
      </c>
      <c r="B32" s="18" t="n">
        <v>0.0429</v>
      </c>
      <c r="C32" s="18" t="n">
        <v>0.04</v>
      </c>
      <c r="D32" s="18" t="n">
        <v>0.038</v>
      </c>
      <c r="E32" s="18" t="n">
        <v>0.036</v>
      </c>
      <c r="F32" s="18" t="n">
        <v>0.035</v>
      </c>
    </row>
    <row r="33">
      <c r="A33" s="17" t="inlineStr">
        <is>
          <t>CapEx (% of Revenue)</t>
        </is>
      </c>
      <c r="B33" s="18" t="n">
        <v>0.04416</v>
      </c>
      <c r="C33" s="18" t="n">
        <v>0.042</v>
      </c>
      <c r="D33" s="18" t="n">
        <v>0.04</v>
      </c>
      <c r="E33" s="18" t="n">
        <v>0.038</v>
      </c>
      <c r="F33" s="18" t="n">
        <v>0.035</v>
      </c>
    </row>
    <row r="34">
      <c r="A34" s="17" t="inlineStr">
        <is>
          <t>NWC Change (% of Δ Revenue)</t>
        </is>
      </c>
      <c r="B34" s="18" t="n">
        <v>0.02</v>
      </c>
      <c r="C34" s="18" t="n">
        <v>0.02</v>
      </c>
      <c r="D34" s="18" t="n">
        <v>0.02</v>
      </c>
      <c r="E34" s="18" t="n">
        <v>0.02</v>
      </c>
      <c r="F34" s="18" t="n">
        <v>0.02</v>
      </c>
    </row>
    <row r="36">
      <c r="A36" s="3" t="inlineStr">
        <is>
          <t>BULL CASE ASSUMPTIONS (Scenario 3 - AI Automation &amp; Luxury Penetration Acceleration)</t>
        </is>
      </c>
    </row>
    <row r="37">
      <c r="A37" s="15" t="inlineStr">
        <is>
          <t>Assumption</t>
        </is>
      </c>
      <c r="B37" s="16" t="inlineStr">
        <is>
          <t>FY2026E</t>
        </is>
      </c>
      <c r="C37" s="16" t="inlineStr">
        <is>
          <t>FY2027E</t>
        </is>
      </c>
      <c r="D37" s="16" t="inlineStr">
        <is>
          <t>FY2028E</t>
        </is>
      </c>
      <c r="E37" s="16" t="inlineStr">
        <is>
          <t>FY2029E</t>
        </is>
      </c>
      <c r="F37" s="16" t="inlineStr">
        <is>
          <t>FY2030E</t>
        </is>
      </c>
    </row>
    <row r="38">
      <c r="A38" s="17" t="inlineStr">
        <is>
          <t>Revenue Growth Rate (%)</t>
        </is>
      </c>
      <c r="B38" s="18" t="n">
        <v>0.17</v>
      </c>
      <c r="C38" s="18" t="n">
        <v>0.15</v>
      </c>
      <c r="D38" s="18" t="n">
        <v>0.13</v>
      </c>
      <c r="E38" s="18" t="n">
        <v>0.11</v>
      </c>
      <c r="F38" s="18" t="n">
        <v>0.09</v>
      </c>
    </row>
    <row r="39">
      <c r="A39" s="17" t="inlineStr">
        <is>
          <t>Gross Margin (%)</t>
        </is>
      </c>
      <c r="B39" s="18" t="n">
        <v>0.76</v>
      </c>
      <c r="C39" s="18" t="n">
        <v>0.765</v>
      </c>
      <c r="D39" s="18" t="n">
        <v>0.77</v>
      </c>
      <c r="E39" s="18" t="n">
        <v>0.775</v>
      </c>
      <c r="F39" s="18" t="n">
        <v>0.785</v>
      </c>
    </row>
    <row r="40">
      <c r="A40" s="17" t="inlineStr">
        <is>
          <t>EBIT Margin (%)</t>
        </is>
      </c>
      <c r="B40" s="18" t="n">
        <v>0.05</v>
      </c>
      <c r="C40" s="18" t="n">
        <v>0.08</v>
      </c>
      <c r="D40" s="18" t="n">
        <v>0.105</v>
      </c>
      <c r="E40" s="18" t="n">
        <v>0.12</v>
      </c>
      <c r="F40" s="18" t="n">
        <v>0.135</v>
      </c>
    </row>
    <row r="41">
      <c r="A41" s="17" t="inlineStr">
        <is>
          <t>D&amp;A (% of Revenue)</t>
        </is>
      </c>
      <c r="B41" s="18" t="n">
        <v>0.042</v>
      </c>
      <c r="C41" s="18" t="n">
        <v>0.038</v>
      </c>
      <c r="D41" s="18" t="n">
        <v>0.035</v>
      </c>
      <c r="E41" s="18" t="n">
        <v>0.033</v>
      </c>
      <c r="F41" s="18" t="n">
        <v>0.032</v>
      </c>
    </row>
    <row r="42">
      <c r="A42" s="17" t="inlineStr">
        <is>
          <t>CapEx (% of Revenue)</t>
        </is>
      </c>
      <c r="B42" s="18" t="n">
        <v>0.042</v>
      </c>
      <c r="C42" s="18" t="n">
        <v>0.038</v>
      </c>
      <c r="D42" s="18" t="n">
        <v>0.035</v>
      </c>
      <c r="E42" s="18" t="n">
        <v>0.033</v>
      </c>
      <c r="F42" s="18" t="n">
        <v>0.032</v>
      </c>
    </row>
    <row r="43">
      <c r="A43" s="17" t="inlineStr">
        <is>
          <t>NWC Change (% of Δ Revenue)</t>
        </is>
      </c>
      <c r="B43" s="18" t="n">
        <v>0.015</v>
      </c>
      <c r="C43" s="18" t="n">
        <v>0.015</v>
      </c>
      <c r="D43" s="18" t="n">
        <v>0.015</v>
      </c>
      <c r="E43" s="18" t="n">
        <v>0.015</v>
      </c>
      <c r="F43" s="18" t="n">
        <v>0.015</v>
      </c>
    </row>
    <row r="45">
      <c r="A45" s="3" t="inlineStr">
        <is>
          <t>ACTIVE CONSOLIDATED ASSUMPTIONS (DYNAMICALLY PULLED VIA CHOOSE)</t>
        </is>
      </c>
    </row>
    <row r="46">
      <c r="A46" s="15" t="inlineStr">
        <is>
          <t>Assumption</t>
        </is>
      </c>
      <c r="B46" s="16" t="inlineStr">
        <is>
          <t>FY2026E</t>
        </is>
      </c>
      <c r="C46" s="16" t="inlineStr">
        <is>
          <t>FY2027E</t>
        </is>
      </c>
      <c r="D46" s="16" t="inlineStr">
        <is>
          <t>FY2028E</t>
        </is>
      </c>
      <c r="E46" s="16" t="inlineStr">
        <is>
          <t>FY2029E</t>
        </is>
      </c>
      <c r="F46" s="16" t="inlineStr">
        <is>
          <t>FY2030E</t>
        </is>
      </c>
    </row>
    <row r="47">
      <c r="A47" s="19" t="inlineStr">
        <is>
          <t>Active Revenue Growth Rate (%)</t>
        </is>
      </c>
      <c r="B47" s="20">
        <f>CHOOSE($B$5, B20, B29, B38)</f>
        <v/>
      </c>
      <c r="C47" s="20">
        <f>CHOOSE($B$5, C20, C29, C38)</f>
        <v/>
      </c>
      <c r="D47" s="20">
        <f>CHOOSE($B$5, D20, D29, D38)</f>
        <v/>
      </c>
      <c r="E47" s="20">
        <f>CHOOSE($B$5, E20, E29, E38)</f>
        <v/>
      </c>
      <c r="F47" s="20">
        <f>CHOOSE($B$5, F20, F29, F38)</f>
        <v/>
      </c>
    </row>
    <row r="48">
      <c r="A48" s="19" t="inlineStr">
        <is>
          <t>Active Gross Margin (%)</t>
        </is>
      </c>
      <c r="B48" s="20">
        <f>CHOOSE($B$5, B21, B30, B39)</f>
        <v/>
      </c>
      <c r="C48" s="20">
        <f>CHOOSE($B$5, C21, C30, C39)</f>
        <v/>
      </c>
      <c r="D48" s="20">
        <f>CHOOSE($B$5, D21, D30, D39)</f>
        <v/>
      </c>
      <c r="E48" s="20">
        <f>CHOOSE($B$5, E21, E30, E39)</f>
        <v/>
      </c>
      <c r="F48" s="20">
        <f>CHOOSE($B$5, F21, F30, F39)</f>
        <v/>
      </c>
    </row>
    <row r="49">
      <c r="A49" s="19" t="inlineStr">
        <is>
          <t>Active EBIT Margin (%)</t>
        </is>
      </c>
      <c r="B49" s="20">
        <f>CHOOSE($B$5, B22, B31, B40)</f>
        <v/>
      </c>
      <c r="C49" s="20">
        <f>CHOOSE($B$5, C22, C31, C40)</f>
        <v/>
      </c>
      <c r="D49" s="20">
        <f>CHOOSE($B$5, D22, D31, D40)</f>
        <v/>
      </c>
      <c r="E49" s="20">
        <f>CHOOSE($B$5, E22, E31, E40)</f>
        <v/>
      </c>
      <c r="F49" s="20">
        <f>CHOOSE($B$5, F22, F31, F40)</f>
        <v/>
      </c>
    </row>
    <row r="50">
      <c r="A50" s="19" t="inlineStr">
        <is>
          <t>Active D&amp;A (% of Revenue)</t>
        </is>
      </c>
      <c r="B50" s="20">
        <f>CHOOSE($B$5, B23, B32, B41)</f>
        <v/>
      </c>
      <c r="C50" s="20">
        <f>CHOOSE($B$5, C23, C32, C41)</f>
        <v/>
      </c>
      <c r="D50" s="20">
        <f>CHOOSE($B$5, D23, D32, D41)</f>
        <v/>
      </c>
      <c r="E50" s="20">
        <f>CHOOSE($B$5, E23, E32, E41)</f>
        <v/>
      </c>
      <c r="F50" s="20">
        <f>CHOOSE($B$5, F23, F32, F41)</f>
        <v/>
      </c>
    </row>
    <row r="51">
      <c r="A51" s="19" t="inlineStr">
        <is>
          <t>Active CapEx (% of Revenue)</t>
        </is>
      </c>
      <c r="B51" s="20">
        <f>CHOOSE($B$5, B24, B33, B42)</f>
        <v/>
      </c>
      <c r="C51" s="20">
        <f>CHOOSE($B$5, C24, C33, C42)</f>
        <v/>
      </c>
      <c r="D51" s="20">
        <f>CHOOSE($B$5, D24, D33, D42)</f>
        <v/>
      </c>
      <c r="E51" s="20">
        <f>CHOOSE($B$5, E24, E33, E42)</f>
        <v/>
      </c>
      <c r="F51" s="20">
        <f>CHOOSE($B$5, F24, F33, F42)</f>
        <v/>
      </c>
    </row>
    <row r="52">
      <c r="A52" s="19" t="inlineStr">
        <is>
          <t>Active NWC Change (% of Δ Rev)</t>
        </is>
      </c>
      <c r="B52" s="20">
        <f>CHOOSE($B$5, B25, B34, B43)</f>
        <v/>
      </c>
      <c r="C52" s="20">
        <f>CHOOSE($B$5, C25, C34, C43)</f>
        <v/>
      </c>
      <c r="D52" s="20">
        <f>CHOOSE($B$5, D25, D34, D43)</f>
        <v/>
      </c>
      <c r="E52" s="20">
        <f>CHOOSE($B$5, E25, E34, E43)</f>
        <v/>
      </c>
      <c r="F52" s="20">
        <f>CHOOSE($B$5, F25, F34, F43)</f>
        <v/>
      </c>
    </row>
    <row r="53">
      <c r="A53" s="19" t="inlineStr">
        <is>
          <t>Effective Marginal Tax Rate (%)</t>
        </is>
      </c>
      <c r="B53" s="21" t="n">
        <v>0.25</v>
      </c>
      <c r="C53" s="20">
        <f>B53</f>
        <v/>
      </c>
      <c r="D53" s="20">
        <f>B53</f>
        <v/>
      </c>
      <c r="E53" s="20">
        <f>B53</f>
        <v/>
      </c>
      <c r="F53" s="20">
        <f>B53</f>
        <v/>
      </c>
    </row>
    <row r="55">
      <c r="A55" s="3" t="inlineStr">
        <is>
          <t>HISTORICAL &amp; PROJECTED INCOME STATEMENT ($M)</t>
        </is>
      </c>
    </row>
    <row r="56">
      <c r="A56" s="15" t="inlineStr">
        <is>
          <t>Line Item ($M)</t>
        </is>
      </c>
      <c r="B56" s="16" t="inlineStr">
        <is>
          <t>FY2023A</t>
        </is>
      </c>
      <c r="C56" s="16" t="inlineStr">
        <is>
          <t>FY2024A</t>
        </is>
      </c>
      <c r="D56" s="16" t="inlineStr">
        <is>
          <t>FY2025A</t>
        </is>
      </c>
      <c r="E56" s="16" t="inlineStr">
        <is>
          <t>FY2026E</t>
        </is>
      </c>
      <c r="F56" s="16" t="inlineStr">
        <is>
          <t>FY2027E</t>
        </is>
      </c>
      <c r="G56" s="16" t="inlineStr">
        <is>
          <t>FY2028E</t>
        </is>
      </c>
      <c r="H56" s="16" t="inlineStr">
        <is>
          <t>FY2029E</t>
        </is>
      </c>
      <c r="I56" s="16" t="inlineStr">
        <is>
          <t>FY2030E</t>
        </is>
      </c>
    </row>
    <row r="57">
      <c r="A57" s="19" t="inlineStr">
        <is>
          <t>Total Revenue ($M)</t>
        </is>
      </c>
      <c r="B57" s="22" t="n">
        <v>549.2</v>
      </c>
      <c r="C57" s="22" t="n">
        <v>600.5</v>
      </c>
      <c r="D57" s="22" t="n">
        <v>692.9</v>
      </c>
      <c r="E57" s="23">
        <f>D57*(1+$B$47)</f>
        <v/>
      </c>
      <c r="F57" s="23">
        <f>E57*(1+$C$47)</f>
        <v/>
      </c>
      <c r="G57" s="23">
        <f>F57*(1+$D$47)</f>
        <v/>
      </c>
      <c r="H57" s="23">
        <f>G57*(1+$E$47)</f>
        <v/>
      </c>
      <c r="I57" s="23">
        <f>H57*(1+$F$47)</f>
        <v/>
      </c>
    </row>
    <row r="58">
      <c r="A58" s="17" t="inlineStr">
        <is>
          <t xml:space="preserve">  YoY Revenue Growth (%)</t>
        </is>
      </c>
      <c r="B58" s="24" t="inlineStr">
        <is>
          <t>-</t>
        </is>
      </c>
      <c r="C58" s="25">
        <f>C57/B57-1</f>
        <v/>
      </c>
      <c r="D58" s="25">
        <f>D57/C57-1</f>
        <v/>
      </c>
      <c r="E58" s="25">
        <f>E57/D57-1</f>
        <v/>
      </c>
      <c r="F58" s="25">
        <f>F57/E57-1</f>
        <v/>
      </c>
      <c r="G58" s="25">
        <f>G57/F57-1</f>
        <v/>
      </c>
      <c r="H58" s="25">
        <f>H57/G57-1</f>
        <v/>
      </c>
      <c r="I58" s="25">
        <f>I57/H57-1</f>
        <v/>
      </c>
    </row>
    <row r="59">
      <c r="A59" s="19" t="inlineStr">
        <is>
          <t>Gross Profit ($M)</t>
        </is>
      </c>
      <c r="B59" s="22" t="n">
        <v>362.8</v>
      </c>
      <c r="C59" s="22" t="n">
        <v>447.5</v>
      </c>
      <c r="D59" s="22" t="n">
        <v>516.8</v>
      </c>
      <c r="E59" s="26">
        <f>E57*$B$48</f>
        <v/>
      </c>
      <c r="F59" s="26">
        <f>F57*$C$48</f>
        <v/>
      </c>
      <c r="G59" s="26">
        <f>G57*$D$48</f>
        <v/>
      </c>
      <c r="H59" s="26">
        <f>H57*$E$48</f>
        <v/>
      </c>
      <c r="I59" s="26">
        <f>I57*$F$48</f>
        <v/>
      </c>
    </row>
    <row r="60">
      <c r="A60" s="17" t="inlineStr">
        <is>
          <t xml:space="preserve">  Gross Margin (%)</t>
        </is>
      </c>
      <c r="B60" s="25">
        <f>B59/B57</f>
        <v/>
      </c>
      <c r="C60" s="25">
        <f>C59/C57</f>
        <v/>
      </c>
      <c r="D60" s="25">
        <f>D59/D57</f>
        <v/>
      </c>
      <c r="E60" s="25">
        <f>E59/E57</f>
        <v/>
      </c>
      <c r="F60" s="25">
        <f>F59/F57</f>
        <v/>
      </c>
      <c r="G60" s="25">
        <f>G59/G57</f>
        <v/>
      </c>
      <c r="H60" s="25">
        <f>H59/H57</f>
        <v/>
      </c>
      <c r="I60" s="25">
        <f>I59/I57</f>
        <v/>
      </c>
    </row>
    <row r="61">
      <c r="A61" s="17" t="inlineStr">
        <is>
          <t>Total Operating Expenses ($M)</t>
        </is>
      </c>
      <c r="B61" s="22" t="n">
        <v>529.1</v>
      </c>
      <c r="C61" s="22" t="n">
        <v>504</v>
      </c>
      <c r="D61" s="22" t="n">
        <v>540.7</v>
      </c>
      <c r="E61" s="27">
        <f>E59-E63</f>
        <v/>
      </c>
      <c r="F61" s="27">
        <f>F59-F63</f>
        <v/>
      </c>
      <c r="G61" s="27">
        <f>G59-G63</f>
        <v/>
      </c>
      <c r="H61" s="27">
        <f>H59-H63</f>
        <v/>
      </c>
      <c r="I61" s="27">
        <f>I59-I63</f>
        <v/>
      </c>
    </row>
    <row r="62">
      <c r="A62" s="17" t="inlineStr">
        <is>
          <t xml:space="preserve">  OpEx % of Revenue (%)</t>
        </is>
      </c>
      <c r="B62" s="25">
        <f>B61/B57</f>
        <v/>
      </c>
      <c r="C62" s="25">
        <f>C61/C57</f>
        <v/>
      </c>
      <c r="D62" s="25">
        <f>D61/D57</f>
        <v/>
      </c>
      <c r="E62" s="25">
        <f>E61/E57</f>
        <v/>
      </c>
      <c r="F62" s="25">
        <f>F61/F57</f>
        <v/>
      </c>
      <c r="G62" s="25">
        <f>G61/G57</f>
        <v/>
      </c>
      <c r="H62" s="25">
        <f>H61/H57</f>
        <v/>
      </c>
      <c r="I62" s="25">
        <f>I61/I57</f>
        <v/>
      </c>
    </row>
    <row r="63">
      <c r="A63" s="19" t="inlineStr">
        <is>
          <t>Operating Income / (Loss) (EBIT) ($M)</t>
        </is>
      </c>
      <c r="B63" s="22" t="n">
        <v>-166.3</v>
      </c>
      <c r="C63" s="22" t="n">
        <v>-56.5</v>
      </c>
      <c r="D63" s="22" t="n">
        <v>-23.9</v>
      </c>
      <c r="E63" s="23">
        <f>E57*$B$49</f>
        <v/>
      </c>
      <c r="F63" s="23">
        <f>F57*$C$49</f>
        <v/>
      </c>
      <c r="G63" s="23">
        <f>G57*$D$49</f>
        <v/>
      </c>
      <c r="H63" s="23">
        <f>H57*$E$49</f>
        <v/>
      </c>
      <c r="I63" s="23">
        <f>I57*$F$49</f>
        <v/>
      </c>
    </row>
    <row r="64">
      <c r="A64" s="17" t="inlineStr">
        <is>
          <t xml:space="preserve">  EBIT Margin (%)</t>
        </is>
      </c>
      <c r="B64" s="25">
        <f>B63/B57</f>
        <v/>
      </c>
      <c r="C64" s="25">
        <f>C63/C57</f>
        <v/>
      </c>
      <c r="D64" s="25">
        <f>D63/D57</f>
        <v/>
      </c>
      <c r="E64" s="25">
        <f>E63/E57</f>
        <v/>
      </c>
      <c r="F64" s="25">
        <f>F63/F57</f>
        <v/>
      </c>
      <c r="G64" s="25">
        <f>G63/G57</f>
        <v/>
      </c>
      <c r="H64" s="25">
        <f>H63/H57</f>
        <v/>
      </c>
      <c r="I64" s="25">
        <f>I63/I57</f>
        <v/>
      </c>
    </row>
    <row r="65">
      <c r="A65" s="17" t="inlineStr">
        <is>
          <t>(-) Normalized Income Tax Expense ($M)</t>
        </is>
      </c>
      <c r="B65" s="22" t="n">
        <v>0</v>
      </c>
      <c r="C65" s="22" t="n">
        <v>0</v>
      </c>
      <c r="D65" s="22" t="n">
        <v>0</v>
      </c>
      <c r="E65" s="27">
        <f>MAX(0, E63)*$B$53</f>
        <v/>
      </c>
      <c r="F65" s="27">
        <f>MAX(0, F63)*$B$53</f>
        <v/>
      </c>
      <c r="G65" s="27">
        <f>MAX(0, G63)*$B$53</f>
        <v/>
      </c>
      <c r="H65" s="27">
        <f>MAX(0, H63)*$B$53</f>
        <v/>
      </c>
      <c r="I65" s="27">
        <f>MAX(0, I63)*$B$53</f>
        <v/>
      </c>
    </row>
    <row r="66">
      <c r="A66" s="19" t="inlineStr">
        <is>
          <t>Net Operating Profit After Tax (NOPAT) ($M)</t>
        </is>
      </c>
      <c r="B66" s="23">
        <f>B63-B65</f>
        <v/>
      </c>
      <c r="C66" s="23">
        <f>C63-C65</f>
        <v/>
      </c>
      <c r="D66" s="23">
        <f>D63-D65</f>
        <v/>
      </c>
      <c r="E66" s="23">
        <f>E63-E65</f>
        <v/>
      </c>
      <c r="F66" s="23">
        <f>F63-F65</f>
        <v/>
      </c>
      <c r="G66" s="23">
        <f>G63-G65</f>
        <v/>
      </c>
      <c r="H66" s="23">
        <f>H63-H65</f>
        <v/>
      </c>
      <c r="I66" s="23">
        <f>I63-I65</f>
        <v/>
      </c>
    </row>
    <row r="68">
      <c r="A68" s="3" t="inlineStr">
        <is>
          <t>UNLEVERED FREE CASH FLOW (UFCF) BUILD ($M)</t>
        </is>
      </c>
    </row>
    <row r="69">
      <c r="A69" s="15" t="inlineStr">
        <is>
          <t>Line Item ($M)</t>
        </is>
      </c>
      <c r="B69" s="16" t="inlineStr">
        <is>
          <t>FY2023A</t>
        </is>
      </c>
      <c r="C69" s="16" t="inlineStr">
        <is>
          <t>FY2024A</t>
        </is>
      </c>
      <c r="D69" s="16" t="inlineStr">
        <is>
          <t>FY2025A</t>
        </is>
      </c>
      <c r="E69" s="16" t="inlineStr">
        <is>
          <t>FY2026E</t>
        </is>
      </c>
      <c r="F69" s="16" t="inlineStr">
        <is>
          <t>FY2027E</t>
        </is>
      </c>
      <c r="G69" s="16" t="inlineStr">
        <is>
          <t>FY2028E</t>
        </is>
      </c>
      <c r="H69" s="16" t="inlineStr">
        <is>
          <t>FY2029E</t>
        </is>
      </c>
      <c r="I69" s="16" t="inlineStr">
        <is>
          <t>FY2030E</t>
        </is>
      </c>
    </row>
    <row r="70">
      <c r="A70" s="19" t="inlineStr">
        <is>
          <t>Net Operating Profit After Tax (NOPAT) ($M)</t>
        </is>
      </c>
      <c r="B70" s="26">
        <f>B66</f>
        <v/>
      </c>
      <c r="C70" s="26">
        <f>C66</f>
        <v/>
      </c>
      <c r="D70" s="26">
        <f>D66</f>
        <v/>
      </c>
      <c r="E70" s="26">
        <f>E66</f>
        <v/>
      </c>
      <c r="F70" s="26">
        <f>F66</f>
        <v/>
      </c>
      <c r="G70" s="26">
        <f>G66</f>
        <v/>
      </c>
      <c r="H70" s="26">
        <f>H66</f>
        <v/>
      </c>
      <c r="I70" s="26">
        <f>I66</f>
        <v/>
      </c>
    </row>
    <row r="71">
      <c r="A71" s="17" t="inlineStr">
        <is>
          <t>(+) Depreciation &amp; Amortization (D&amp;A) ($M)</t>
        </is>
      </c>
      <c r="B71" s="22" t="n">
        <v>38.2</v>
      </c>
      <c r="C71" s="22" t="n">
        <v>33.1</v>
      </c>
      <c r="D71" s="22" t="n">
        <v>33</v>
      </c>
      <c r="E71" s="27">
        <f>E57*$B$50</f>
        <v/>
      </c>
      <c r="F71" s="27">
        <f>F57*$C$50</f>
        <v/>
      </c>
      <c r="G71" s="27">
        <f>G57*$D$50</f>
        <v/>
      </c>
      <c r="H71" s="27">
        <f>H57*$E$50</f>
        <v/>
      </c>
      <c r="I71" s="27">
        <f>I57*$F$50</f>
        <v/>
      </c>
    </row>
    <row r="72">
      <c r="A72" s="17" t="inlineStr">
        <is>
          <t xml:space="preserve">  D&amp;A % of Revenue (%)</t>
        </is>
      </c>
      <c r="B72" s="25">
        <f>B71/B57</f>
        <v/>
      </c>
      <c r="C72" s="25">
        <f>C71/C57</f>
        <v/>
      </c>
      <c r="D72" s="25">
        <f>D71/D57</f>
        <v/>
      </c>
      <c r="E72" s="25">
        <f>E71/E57</f>
        <v/>
      </c>
      <c r="F72" s="25">
        <f>F71/F57</f>
        <v/>
      </c>
      <c r="G72" s="25">
        <f>G71/G57</f>
        <v/>
      </c>
      <c r="H72" s="25">
        <f>H71/H57</f>
        <v/>
      </c>
      <c r="I72" s="25">
        <f>I71/I57</f>
        <v/>
      </c>
    </row>
    <row r="73">
      <c r="A73" s="17" t="inlineStr">
        <is>
          <t>(-) Capital Expenditures (CapEx) ($M)</t>
        </is>
      </c>
      <c r="B73" s="22" t="n">
        <v>24.8</v>
      </c>
      <c r="C73" s="22" t="n">
        <v>26</v>
      </c>
      <c r="D73" s="22" t="n">
        <v>31.5</v>
      </c>
      <c r="E73" s="27">
        <f>E57*$B$51</f>
        <v/>
      </c>
      <c r="F73" s="27">
        <f>F57*$C$51</f>
        <v/>
      </c>
      <c r="G73" s="27">
        <f>G57*$D$51</f>
        <v/>
      </c>
      <c r="H73" s="27">
        <f>H57*$E$51</f>
        <v/>
      </c>
      <c r="I73" s="27">
        <f>I57*$F$51</f>
        <v/>
      </c>
    </row>
    <row r="74">
      <c r="A74" s="17" t="inlineStr">
        <is>
          <t xml:space="preserve">  CapEx % of Revenue (%)</t>
        </is>
      </c>
      <c r="B74" s="25">
        <f>B73/B57</f>
        <v/>
      </c>
      <c r="C74" s="25">
        <f>C73/C57</f>
        <v/>
      </c>
      <c r="D74" s="25">
        <f>D73/D57</f>
        <v/>
      </c>
      <c r="E74" s="25">
        <f>E73/E57</f>
        <v/>
      </c>
      <c r="F74" s="25">
        <f>F73/F57</f>
        <v/>
      </c>
      <c r="G74" s="25">
        <f>G73/G57</f>
        <v/>
      </c>
      <c r="H74" s="25">
        <f>H73/H57</f>
        <v/>
      </c>
      <c r="I74" s="25">
        <f>I73/I57</f>
        <v/>
      </c>
    </row>
    <row r="75">
      <c r="A75" s="17" t="inlineStr">
        <is>
          <t>(-) Change in Net Working Capital (Δ NWC) ($M)</t>
        </is>
      </c>
      <c r="B75" s="22" t="n">
        <v>0</v>
      </c>
      <c r="C75" s="22" t="n">
        <v>0</v>
      </c>
      <c r="D75" s="22" t="n">
        <v>0</v>
      </c>
      <c r="E75" s="27">
        <f>(E57-D57)*$B$52</f>
        <v/>
      </c>
      <c r="F75" s="27">
        <f>(F57-E57)*$C$52</f>
        <v/>
      </c>
      <c r="G75" s="27">
        <f>(G57-F57)*$D$52</f>
        <v/>
      </c>
      <c r="H75" s="27">
        <f>(H57-G57)*$E$52</f>
        <v/>
      </c>
      <c r="I75" s="27">
        <f>(I57-H57)*$F$52</f>
        <v/>
      </c>
    </row>
    <row r="76">
      <c r="A76" s="17" t="inlineStr">
        <is>
          <t xml:space="preserve">  Δ NWC % of Δ Revenue (%)</t>
        </is>
      </c>
      <c r="B76" s="24" t="inlineStr">
        <is>
          <t>-</t>
        </is>
      </c>
      <c r="C76" s="24" t="inlineStr">
        <is>
          <t>-</t>
        </is>
      </c>
      <c r="D76" s="24" t="inlineStr">
        <is>
          <t>-</t>
        </is>
      </c>
      <c r="E76" s="25">
        <f>E75/(E57-D57)</f>
        <v/>
      </c>
      <c r="F76" s="25">
        <f>F75/(F57-E57)</f>
        <v/>
      </c>
      <c r="G76" s="25">
        <f>G75/(G57-F57)</f>
        <v/>
      </c>
      <c r="H76" s="25">
        <f>H75/(H57-G57)</f>
        <v/>
      </c>
      <c r="I76" s="25">
        <f>I75/(I57-H57)</f>
        <v/>
      </c>
    </row>
    <row r="77">
      <c r="A77" s="19" t="inlineStr">
        <is>
          <t>UNLEVERED FREE CASH FLOW (UFCF) ($M)</t>
        </is>
      </c>
      <c r="B77" s="22" t="n">
        <v>-72.5</v>
      </c>
      <c r="C77" s="22" t="n">
        <v>27</v>
      </c>
      <c r="D77" s="22" t="n">
        <v>37</v>
      </c>
      <c r="E77" s="28">
        <f>E70+E71-E73-E75</f>
        <v/>
      </c>
      <c r="F77" s="28">
        <f>F70+F71-F73-F75</f>
        <v/>
      </c>
      <c r="G77" s="28">
        <f>G70+G71-G73-G75</f>
        <v/>
      </c>
      <c r="H77" s="28">
        <f>H70+H71-H73-H75</f>
        <v/>
      </c>
      <c r="I77" s="28">
        <f>I70+I71-I73-I75</f>
        <v/>
      </c>
    </row>
    <row r="79">
      <c r="A79" s="3" t="inlineStr">
        <is>
          <t>VALUATION &amp; DISCOUNTING SCHEDULE (MID-YEAR CONVENTION) ($M)</t>
        </is>
      </c>
    </row>
    <row r="80">
      <c r="A80" s="15" t="inlineStr">
        <is>
          <t>Line Item ($M)</t>
        </is>
      </c>
      <c r="B80" s="16" t="inlineStr">
        <is>
          <t>FY2023A</t>
        </is>
      </c>
      <c r="C80" s="16" t="inlineStr">
        <is>
          <t>FY2024A</t>
        </is>
      </c>
      <c r="D80" s="16" t="inlineStr">
        <is>
          <t>FY2025A</t>
        </is>
      </c>
      <c r="E80" s="16" t="inlineStr">
        <is>
          <t>FY2026E</t>
        </is>
      </c>
      <c r="F80" s="16" t="inlineStr">
        <is>
          <t>FY2027E</t>
        </is>
      </c>
      <c r="G80" s="16" t="inlineStr">
        <is>
          <t>FY2028E</t>
        </is>
      </c>
      <c r="H80" s="16" t="inlineStr">
        <is>
          <t>FY2029E</t>
        </is>
      </c>
      <c r="I80" s="16" t="inlineStr">
        <is>
          <t>FY2030E</t>
        </is>
      </c>
    </row>
    <row r="81">
      <c r="A81" s="19" t="inlineStr">
        <is>
          <t>Unlevered Free Cash Flow ($M)</t>
        </is>
      </c>
      <c r="B81" s="26" t="inlineStr">
        <is>
          <t>-</t>
        </is>
      </c>
      <c r="C81" s="26" t="inlineStr">
        <is>
          <t>-</t>
        </is>
      </c>
      <c r="D81" s="26" t="inlineStr">
        <is>
          <t>-</t>
        </is>
      </c>
      <c r="E81" s="26">
        <f>E77</f>
        <v/>
      </c>
      <c r="F81" s="26">
        <f>F77</f>
        <v/>
      </c>
      <c r="G81" s="26">
        <f>G77</f>
        <v/>
      </c>
      <c r="H81" s="26">
        <f>H77</f>
        <v/>
      </c>
      <c r="I81" s="26">
        <f>I77</f>
        <v/>
      </c>
    </row>
    <row r="82">
      <c r="A82" s="17" t="inlineStr">
        <is>
          <t>Discount Period (Mid-Year Convention, t)</t>
        </is>
      </c>
      <c r="B82" s="29" t="inlineStr">
        <is>
          <t>-</t>
        </is>
      </c>
      <c r="C82" s="29" t="inlineStr">
        <is>
          <t>-</t>
        </is>
      </c>
      <c r="D82" s="29" t="inlineStr">
        <is>
          <t>-</t>
        </is>
      </c>
      <c r="E82" s="29" t="n">
        <v>0.5</v>
      </c>
      <c r="F82" s="29" t="n">
        <v>1.5</v>
      </c>
      <c r="G82" s="29" t="n">
        <v>2.5</v>
      </c>
      <c r="H82" s="29" t="n">
        <v>3.5</v>
      </c>
      <c r="I82" s="29" t="n">
        <v>4.5</v>
      </c>
    </row>
    <row r="83">
      <c r="A83" s="17" t="inlineStr">
        <is>
          <t>Discount Factor [1 / (1 + WACC)^t]</t>
        </is>
      </c>
      <c r="B83" s="30" t="inlineStr">
        <is>
          <t>-</t>
        </is>
      </c>
      <c r="C83" s="30" t="inlineStr">
        <is>
          <t>-</t>
        </is>
      </c>
      <c r="D83" s="30" t="inlineStr">
        <is>
          <t>-</t>
        </is>
      </c>
      <c r="E83" s="30">
        <f>1/(1+$B$15)^E82</f>
        <v/>
      </c>
      <c r="F83" s="30">
        <f>1/(1+$B$15)^F82</f>
        <v/>
      </c>
      <c r="G83" s="30">
        <f>1/(1+$B$15)^G82</f>
        <v/>
      </c>
      <c r="H83" s="30">
        <f>1/(1+$B$15)^H82</f>
        <v/>
      </c>
      <c r="I83" s="30">
        <f>1/(1+$B$15)^I82</f>
        <v/>
      </c>
    </row>
    <row r="84">
      <c r="A84" s="19" t="inlineStr">
        <is>
          <t>Present Value (PV) of Projected FCF ($M)</t>
        </is>
      </c>
      <c r="B84" s="26" t="inlineStr">
        <is>
          <t>-</t>
        </is>
      </c>
      <c r="C84" s="26" t="inlineStr">
        <is>
          <t>-</t>
        </is>
      </c>
      <c r="D84" s="26" t="inlineStr">
        <is>
          <t>-</t>
        </is>
      </c>
      <c r="E84" s="31">
        <f>E81*E83</f>
        <v/>
      </c>
      <c r="F84" s="31">
        <f>F81*F83</f>
        <v/>
      </c>
      <c r="G84" s="31">
        <f>G81*G83</f>
        <v/>
      </c>
      <c r="H84" s="31">
        <f>H81*H83</f>
        <v/>
      </c>
      <c r="I84" s="31">
        <f>I81*I83</f>
        <v/>
      </c>
    </row>
    <row r="86">
      <c r="A86" s="3" t="inlineStr">
        <is>
          <t>TERMINAL VALUE &amp; VALUATION SUMMARY BRIDGE ($M)</t>
        </is>
      </c>
    </row>
    <row r="87">
      <c r="A87" s="7" t="inlineStr">
        <is>
          <t>Terminal Growth Rate (g)</t>
        </is>
      </c>
      <c r="B87" s="32">
        <f>B16</f>
        <v/>
      </c>
    </row>
    <row r="88">
      <c r="A88" s="7" t="inlineStr">
        <is>
          <t>Normalized Terminal FCF [FY30 FCF * (1 + g)] ($M)</t>
        </is>
      </c>
      <c r="B88" s="33">
        <f>I81*(1+B87)</f>
        <v/>
      </c>
    </row>
    <row r="89">
      <c r="A89" s="7" t="inlineStr">
        <is>
          <t>Terminal Value at Year 5 [FCF_n+1 / (WACC - g)] ($M)</t>
        </is>
      </c>
      <c r="B89" s="33">
        <f>B88/($B$15-B87)</f>
        <v/>
      </c>
    </row>
    <row r="90">
      <c r="A90" s="7" t="inlineStr">
        <is>
          <t>PV of Terminal Value ($M) [TV / (1 + WACC)^4.5]</t>
        </is>
      </c>
      <c r="B90" s="33">
        <f>B89/(1+$B$15)^4.5</f>
        <v/>
      </c>
    </row>
    <row r="91">
      <c r="A91" s="7" t="inlineStr">
        <is>
          <t>Terminal Value as % of Enterprise Value</t>
        </is>
      </c>
      <c r="B91" s="34">
        <f>B90/B94</f>
        <v/>
      </c>
    </row>
    <row r="93">
      <c r="A93" s="7" t="inlineStr">
        <is>
          <t>Cumulative PV of Explicit Cash Flows (FY26E-FY30E) ($M)</t>
        </is>
      </c>
      <c r="B93" s="33">
        <f>SUM(E84:I84)</f>
        <v/>
      </c>
    </row>
    <row r="94">
      <c r="A94" s="10" t="inlineStr">
        <is>
          <t>ENTERPRISE VALUE (EV) ($M)</t>
        </is>
      </c>
      <c r="B94" s="31">
        <f>B93+B90</f>
        <v/>
      </c>
    </row>
    <row r="95">
      <c r="A95" s="7" t="inlineStr">
        <is>
          <t>(-) Total Debt ($M)</t>
        </is>
      </c>
      <c r="B95" s="33">
        <f>B12</f>
        <v/>
      </c>
    </row>
    <row r="96">
      <c r="A96" s="7" t="inlineStr">
        <is>
          <t>(+) Cash &amp; Cash Equivalents ($M)</t>
        </is>
      </c>
      <c r="B96" s="33">
        <f>B13</f>
        <v/>
      </c>
    </row>
    <row r="97">
      <c r="A97" s="7" t="inlineStr">
        <is>
          <t>(-) Net Debt ($M) [Debt - Cash]</t>
        </is>
      </c>
      <c r="B97" s="33">
        <f>B95-B96</f>
        <v/>
      </c>
    </row>
    <row r="98">
      <c r="A98" s="10" t="inlineStr">
        <is>
          <t>IMPLIED EQUITY VALUE ($M)</t>
        </is>
      </c>
      <c r="B98" s="31">
        <f>B94-B97</f>
        <v/>
      </c>
    </row>
    <row r="99">
      <c r="A99" s="7" t="inlineStr">
        <is>
          <t>Diluted Shares Outstanding (M)</t>
        </is>
      </c>
      <c r="B99" s="35">
        <f>B10</f>
        <v/>
      </c>
    </row>
    <row r="100">
      <c r="A100" s="36" t="inlineStr">
        <is>
          <t>IMPLIED SHARE PRICE ($ / Share)</t>
        </is>
      </c>
      <c r="B100" s="37">
        <f>B98/B99</f>
        <v/>
      </c>
    </row>
    <row r="101">
      <c r="A101" s="7" t="inlineStr">
        <is>
          <t>Current Stock Price ($ / Share)</t>
        </is>
      </c>
      <c r="B101" s="38">
        <f>B9</f>
        <v/>
      </c>
    </row>
    <row r="102">
      <c r="A102" s="10" t="inlineStr">
        <is>
          <t>Implied Upside / (Downside) (%)</t>
        </is>
      </c>
      <c r="B102" s="39">
        <f>B100/B101-1</f>
        <v/>
      </c>
    </row>
    <row r="104">
      <c r="A104" s="3" t="inlineStr">
        <is>
          <t>SENSITIVITY ANALYSIS 1: IMPLIED SHARE PRICE ($) - WACC VS. TERMINAL GROWTH RATE (g)</t>
        </is>
      </c>
    </row>
    <row r="105">
      <c r="A105" s="16" t="inlineStr">
        <is>
          <t>WACC \ Terminal g</t>
        </is>
      </c>
      <c r="B105" s="40" t="n">
        <v>0.015</v>
      </c>
      <c r="C105" s="40" t="n">
        <v>0.02</v>
      </c>
      <c r="D105" s="41" t="n">
        <v>0.025</v>
      </c>
      <c r="E105" s="40" t="n">
        <v>0.03</v>
      </c>
      <c r="F105" s="40" t="n">
        <v>0.035</v>
      </c>
    </row>
    <row r="106">
      <c r="A106" s="42" t="n">
        <v>0.12</v>
      </c>
      <c r="B106" s="43">
        <f>(($E$81/(1+$A106)^0.5+$F$81/(1+$A106)^1.5+$G$81/(1+$A106)^2.5+$H$81/(1+$A106)^3.5+$I$81/(1+$A106)^4.5)+(($I$81*(1+B$105)/($A106-B$105))/(1+$A106)^4.5)-$B$14)/$B$10</f>
        <v/>
      </c>
      <c r="C106" s="43">
        <f>(($E$81/(1+$A106)^0.5+$F$81/(1+$A106)^1.5+$G$81/(1+$A106)^2.5+$H$81/(1+$A106)^3.5+$I$81/(1+$A106)^4.5)+(($I$81*(1+C$105)/($A106-C$105))/(1+$A106)^4.5)-$B$14)/$B$10</f>
        <v/>
      </c>
      <c r="D106" s="43">
        <f>(($E$81/(1+$A106)^0.5+$F$81/(1+$A106)^1.5+$G$81/(1+$A106)^2.5+$H$81/(1+$A106)^3.5+$I$81/(1+$A106)^4.5)+(($I$81*(1+D$105)/($A106-D$105))/(1+$A106)^4.5)-$B$14)/$B$10</f>
        <v/>
      </c>
      <c r="E106" s="43">
        <f>(($E$81/(1+$A106)^0.5+$F$81/(1+$A106)^1.5+$G$81/(1+$A106)^2.5+$H$81/(1+$A106)^3.5+$I$81/(1+$A106)^4.5)+(($I$81*(1+E$105)/($A106-E$105))/(1+$A106)^4.5)-$B$14)/$B$10</f>
        <v/>
      </c>
      <c r="F106" s="43">
        <f>(($E$81/(1+$A106)^0.5+$F$81/(1+$A106)^1.5+$G$81/(1+$A106)^2.5+$H$81/(1+$A106)^3.5+$I$81/(1+$A106)^4.5)+(($I$81*(1+F$105)/($A106-F$105))/(1+$A106)^4.5)-$B$14)/$B$10</f>
        <v/>
      </c>
    </row>
    <row r="107">
      <c r="A107" s="42" t="n">
        <v>0.13</v>
      </c>
      <c r="B107" s="43">
        <f>(($E$81/(1+$A107)^0.5+$F$81/(1+$A107)^1.5+$G$81/(1+$A107)^2.5+$H$81/(1+$A107)^3.5+$I$81/(1+$A107)^4.5)+(($I$81*(1+B$105)/($A107-B$105))/(1+$A107)^4.5)-$B$14)/$B$10</f>
        <v/>
      </c>
      <c r="C107" s="43">
        <f>(($E$81/(1+$A107)^0.5+$F$81/(1+$A107)^1.5+$G$81/(1+$A107)^2.5+$H$81/(1+$A107)^3.5+$I$81/(1+$A107)^4.5)+(($I$81*(1+C$105)/($A107-C$105))/(1+$A107)^4.5)-$B$14)/$B$10</f>
        <v/>
      </c>
      <c r="D107" s="43">
        <f>(($E$81/(1+$A107)^0.5+$F$81/(1+$A107)^1.5+$G$81/(1+$A107)^2.5+$H$81/(1+$A107)^3.5+$I$81/(1+$A107)^4.5)+(($I$81*(1+D$105)/($A107-D$105))/(1+$A107)^4.5)-$B$14)/$B$10</f>
        <v/>
      </c>
      <c r="E107" s="43">
        <f>(($E$81/(1+$A107)^0.5+$F$81/(1+$A107)^1.5+$G$81/(1+$A107)^2.5+$H$81/(1+$A107)^3.5+$I$81/(1+$A107)^4.5)+(($I$81*(1+E$105)/($A107-E$105))/(1+$A107)^4.5)-$B$14)/$B$10</f>
        <v/>
      </c>
      <c r="F107" s="43">
        <f>(($E$81/(1+$A107)^0.5+$F$81/(1+$A107)^1.5+$G$81/(1+$A107)^2.5+$H$81/(1+$A107)^3.5+$I$81/(1+$A107)^4.5)+(($I$81*(1+F$105)/($A107-F$105))/(1+$A107)^4.5)-$B$14)/$B$10</f>
        <v/>
      </c>
    </row>
    <row r="108">
      <c r="A108" s="44">
        <f>$B$15</f>
        <v/>
      </c>
      <c r="B108" s="43">
        <f>(($E$81/(1+$A108)^0.5+$F$81/(1+$A108)^1.5+$G$81/(1+$A108)^2.5+$H$81/(1+$A108)^3.5+$I$81/(1+$A108)^4.5)+(($I$81*(1+B$105)/($A108-B$105))/(1+$A108)^4.5)-$B$14)/$B$10</f>
        <v/>
      </c>
      <c r="C108" s="43">
        <f>(($E$81/(1+$A108)^0.5+$F$81/(1+$A108)^1.5+$G$81/(1+$A108)^2.5+$H$81/(1+$A108)^3.5+$I$81/(1+$A108)^4.5)+(($I$81*(1+C$105)/($A108-C$105))/(1+$A108)^4.5)-$B$14)/$B$10</f>
        <v/>
      </c>
      <c r="D108" s="45">
        <f>(($E$81/(1+$A108)^0.5+$F$81/(1+$A108)^1.5+$G$81/(1+$A108)^2.5+$H$81/(1+$A108)^3.5+$I$81/(1+$A108)^4.5)+(($I$81*(1+D$105)/($A108-D$105))/(1+$A108)^4.5)-$B$14)/$B$10</f>
        <v/>
      </c>
      <c r="E108" s="43">
        <f>(($E$81/(1+$A108)^0.5+$F$81/(1+$A108)^1.5+$G$81/(1+$A108)^2.5+$H$81/(1+$A108)^3.5+$I$81/(1+$A108)^4.5)+(($I$81*(1+E$105)/($A108-E$105))/(1+$A108)^4.5)-$B$14)/$B$10</f>
        <v/>
      </c>
      <c r="F108" s="43">
        <f>(($E$81/(1+$A108)^0.5+$F$81/(1+$A108)^1.5+$G$81/(1+$A108)^2.5+$H$81/(1+$A108)^3.5+$I$81/(1+$A108)^4.5)+(($I$81*(1+F$105)/($A108-F$105))/(1+$A108)^4.5)-$B$14)/$B$10</f>
        <v/>
      </c>
    </row>
    <row r="109">
      <c r="A109" s="42" t="n">
        <v>0.15</v>
      </c>
      <c r="B109" s="43">
        <f>(($E$81/(1+$A109)^0.5+$F$81/(1+$A109)^1.5+$G$81/(1+$A109)^2.5+$H$81/(1+$A109)^3.5+$I$81/(1+$A109)^4.5)+(($I$81*(1+B$105)/($A109-B$105))/(1+$A109)^4.5)-$B$14)/$B$10</f>
        <v/>
      </c>
      <c r="C109" s="43">
        <f>(($E$81/(1+$A109)^0.5+$F$81/(1+$A109)^1.5+$G$81/(1+$A109)^2.5+$H$81/(1+$A109)^3.5+$I$81/(1+$A109)^4.5)+(($I$81*(1+C$105)/($A109-C$105))/(1+$A109)^4.5)-$B$14)/$B$10</f>
        <v/>
      </c>
      <c r="D109" s="43">
        <f>(($E$81/(1+$A109)^0.5+$F$81/(1+$A109)^1.5+$G$81/(1+$A109)^2.5+$H$81/(1+$A109)^3.5+$I$81/(1+$A109)^4.5)+(($I$81*(1+D$105)/($A109-D$105))/(1+$A109)^4.5)-$B$14)/$B$10</f>
        <v/>
      </c>
      <c r="E109" s="43">
        <f>(($E$81/(1+$A109)^0.5+$F$81/(1+$A109)^1.5+$G$81/(1+$A109)^2.5+$H$81/(1+$A109)^3.5+$I$81/(1+$A109)^4.5)+(($I$81*(1+E$105)/($A109-E$105))/(1+$A109)^4.5)-$B$14)/$B$10</f>
        <v/>
      </c>
      <c r="F109" s="43">
        <f>(($E$81/(1+$A109)^0.5+$F$81/(1+$A109)^1.5+$G$81/(1+$A109)^2.5+$H$81/(1+$A109)^3.5+$I$81/(1+$A109)^4.5)+(($I$81*(1+F$105)/($A109-F$105))/(1+$A109)^4.5)-$B$14)/$B$10</f>
        <v/>
      </c>
    </row>
    <row r="110">
      <c r="A110" s="42" t="n">
        <v>0.16</v>
      </c>
      <c r="B110" s="43">
        <f>(($E$81/(1+$A110)^0.5+$F$81/(1+$A110)^1.5+$G$81/(1+$A110)^2.5+$H$81/(1+$A110)^3.5+$I$81/(1+$A110)^4.5)+(($I$81*(1+B$105)/($A110-B$105))/(1+$A110)^4.5)-$B$14)/$B$10</f>
        <v/>
      </c>
      <c r="C110" s="43">
        <f>(($E$81/(1+$A110)^0.5+$F$81/(1+$A110)^1.5+$G$81/(1+$A110)^2.5+$H$81/(1+$A110)^3.5+$I$81/(1+$A110)^4.5)+(($I$81*(1+C$105)/($A110-C$105))/(1+$A110)^4.5)-$B$14)/$B$10</f>
        <v/>
      </c>
      <c r="D110" s="43">
        <f>(($E$81/(1+$A110)^0.5+$F$81/(1+$A110)^1.5+$G$81/(1+$A110)^2.5+$H$81/(1+$A110)^3.5+$I$81/(1+$A110)^4.5)+(($I$81*(1+D$105)/($A110-D$105))/(1+$A110)^4.5)-$B$14)/$B$10</f>
        <v/>
      </c>
      <c r="E110" s="43">
        <f>(($E$81/(1+$A110)^0.5+$F$81/(1+$A110)^1.5+$G$81/(1+$A110)^2.5+$H$81/(1+$A110)^3.5+$I$81/(1+$A110)^4.5)+(($I$81*(1+E$105)/($A110-E$105))/(1+$A110)^4.5)-$B$14)/$B$10</f>
        <v/>
      </c>
      <c r="F110" s="43">
        <f>(($E$81/(1+$A110)^0.5+$F$81/(1+$A110)^1.5+$G$81/(1+$A110)^2.5+$H$81/(1+$A110)^3.5+$I$81/(1+$A110)^4.5)+(($I$81*(1+F$105)/($A110-F$105))/(1+$A110)^4.5)-$B$14)/$B$10</f>
        <v/>
      </c>
    </row>
    <row r="112">
      <c r="A112" s="3" t="inlineStr">
        <is>
          <t>SENSITIVITY ANALYSIS 2: IMPLIED SHARE PRICE ($) - REVENUE GROWTH DELTA VS. TARGET EBIT MARGIN</t>
        </is>
      </c>
    </row>
    <row r="113">
      <c r="A113" s="16" t="inlineStr">
        <is>
          <t>Rev Growth Δ \ Target EBIT %</t>
        </is>
      </c>
      <c r="B113" s="40" t="n">
        <v>0.07000000000000001</v>
      </c>
      <c r="C113" s="40" t="n">
        <v>0.09</v>
      </c>
      <c r="D113" s="41" t="n">
        <v>0.11</v>
      </c>
      <c r="E113" s="40" t="n">
        <v>0.13</v>
      </c>
      <c r="F113" s="40" t="n">
        <v>0.15</v>
      </c>
    </row>
    <row r="114">
      <c r="A114" s="46" t="n">
        <v>-0.04</v>
      </c>
      <c r="B114" s="43">
        <f>(($E$81/(1+$B$15)^0.5+$F$81/(1+$B$15)^1.5+$G$81/(1+$B$15)^2.5+$H$81/(1+$B$15)^3.5+$I$81/(1+$B$15)^4.5)*((1+$A114)*(B$113/$F$49))+(($I$81*((1+$A114)*(B$113/$F$49))*(1+$B$16)/($B$15-$B$16))/(1+$B$15)^4.5)-$B$14)/$B$10</f>
        <v/>
      </c>
      <c r="C114" s="43">
        <f>(($E$81/(1+$B$15)^0.5+$F$81/(1+$B$15)^1.5+$G$81/(1+$B$15)^2.5+$H$81/(1+$B$15)^3.5+$I$81/(1+$B$15)^4.5)*((1+$A114)*(C$113/$F$49))+(($I$81*((1+$A114)*(C$113/$F$49))*(1+$B$16)/($B$15-$B$16))/(1+$B$15)^4.5)-$B$14)/$B$10</f>
        <v/>
      </c>
      <c r="D114" s="43">
        <f>(($E$81/(1+$B$15)^0.5+$F$81/(1+$B$15)^1.5+$G$81/(1+$B$15)^2.5+$H$81/(1+$B$15)^3.5+$I$81/(1+$B$15)^4.5)*((1+$A114)*(D$113/$F$49))+(($I$81*((1+$A114)*(D$113/$F$49))*(1+$B$16)/($B$15-$B$16))/(1+$B$15)^4.5)-$B$14)/$B$10</f>
        <v/>
      </c>
      <c r="E114" s="43">
        <f>(($E$81/(1+$B$15)^0.5+$F$81/(1+$B$15)^1.5+$G$81/(1+$B$15)^2.5+$H$81/(1+$B$15)^3.5+$I$81/(1+$B$15)^4.5)*((1+$A114)*(E$113/$F$49))+(($I$81*((1+$A114)*(E$113/$F$49))*(1+$B$16)/($B$15-$B$16))/(1+$B$15)^4.5)-$B$14)/$B$10</f>
        <v/>
      </c>
      <c r="F114" s="43">
        <f>(($E$81/(1+$B$15)^0.5+$F$81/(1+$B$15)^1.5+$G$81/(1+$B$15)^2.5+$H$81/(1+$B$15)^3.5+$I$81/(1+$B$15)^4.5)*((1+$A114)*(F$113/$F$49))+(($I$81*((1+$A114)*(F$113/$F$49))*(1+$B$16)/($B$15-$B$16))/(1+$B$15)^4.5)-$B$14)/$B$10</f>
        <v/>
      </c>
    </row>
    <row r="115">
      <c r="A115" s="46" t="n">
        <v>-0.02</v>
      </c>
      <c r="B115" s="43">
        <f>(($E$81/(1+$B$15)^0.5+$F$81/(1+$B$15)^1.5+$G$81/(1+$B$15)^2.5+$H$81/(1+$B$15)^3.5+$I$81/(1+$B$15)^4.5)*((1+$A115)*(B$113/$F$49))+(($I$81*((1+$A115)*(B$113/$F$49))*(1+$B$16)/($B$15-$B$16))/(1+$B$15)^4.5)-$B$14)/$B$10</f>
        <v/>
      </c>
      <c r="C115" s="43">
        <f>(($E$81/(1+$B$15)^0.5+$F$81/(1+$B$15)^1.5+$G$81/(1+$B$15)^2.5+$H$81/(1+$B$15)^3.5+$I$81/(1+$B$15)^4.5)*((1+$A115)*(C$113/$F$49))+(($I$81*((1+$A115)*(C$113/$F$49))*(1+$B$16)/($B$15-$B$16))/(1+$B$15)^4.5)-$B$14)/$B$10</f>
        <v/>
      </c>
      <c r="D115" s="43">
        <f>(($E$81/(1+$B$15)^0.5+$F$81/(1+$B$15)^1.5+$G$81/(1+$B$15)^2.5+$H$81/(1+$B$15)^3.5+$I$81/(1+$B$15)^4.5)*((1+$A115)*(D$113/$F$49))+(($I$81*((1+$A115)*(D$113/$F$49))*(1+$B$16)/($B$15-$B$16))/(1+$B$15)^4.5)-$B$14)/$B$10</f>
        <v/>
      </c>
      <c r="E115" s="43">
        <f>(($E$81/(1+$B$15)^0.5+$F$81/(1+$B$15)^1.5+$G$81/(1+$B$15)^2.5+$H$81/(1+$B$15)^3.5+$I$81/(1+$B$15)^4.5)*((1+$A115)*(E$113/$F$49))+(($I$81*((1+$A115)*(E$113/$F$49))*(1+$B$16)/($B$15-$B$16))/(1+$B$15)^4.5)-$B$14)/$B$10</f>
        <v/>
      </c>
      <c r="F115" s="43">
        <f>(($E$81/(1+$B$15)^0.5+$F$81/(1+$B$15)^1.5+$G$81/(1+$B$15)^2.5+$H$81/(1+$B$15)^3.5+$I$81/(1+$B$15)^4.5)*((1+$A115)*(F$113/$F$49))+(($I$81*((1+$A115)*(F$113/$F$49))*(1+$B$16)/($B$15-$B$16))/(1+$B$15)^4.5)-$B$14)/$B$10</f>
        <v/>
      </c>
    </row>
    <row r="116">
      <c r="A116" s="47" t="n">
        <v>0</v>
      </c>
      <c r="B116" s="43">
        <f>(($E$81/(1+$B$15)^0.5+$F$81/(1+$B$15)^1.5+$G$81/(1+$B$15)^2.5+$H$81/(1+$B$15)^3.5+$I$81/(1+$B$15)^4.5)*((1+$A116)*(B$113/$F$49))+(($I$81*((1+$A116)*(B$113/$F$49))*(1+$B$16)/($B$15-$B$16))/(1+$B$15)^4.5)-$B$14)/$B$10</f>
        <v/>
      </c>
      <c r="C116" s="43">
        <f>(($E$81/(1+$B$15)^0.5+$F$81/(1+$B$15)^1.5+$G$81/(1+$B$15)^2.5+$H$81/(1+$B$15)^3.5+$I$81/(1+$B$15)^4.5)*((1+$A116)*(C$113/$F$49))+(($I$81*((1+$A116)*(C$113/$F$49))*(1+$B$16)/($B$15-$B$16))/(1+$B$15)^4.5)-$B$14)/$B$10</f>
        <v/>
      </c>
      <c r="D116" s="45">
        <f>(($E$81/(1+$B$15)^0.5+$F$81/(1+$B$15)^1.5+$G$81/(1+$B$15)^2.5+$H$81/(1+$B$15)^3.5+$I$81/(1+$B$15)^4.5)*((1+$A116)*(D$113/$F$49))+(($I$81*((1+$A116)*(D$113/$F$49))*(1+$B$16)/($B$15-$B$16))/(1+$B$15)^4.5)-$B$14)/$B$10</f>
        <v/>
      </c>
      <c r="E116" s="43">
        <f>(($E$81/(1+$B$15)^0.5+$F$81/(1+$B$15)^1.5+$G$81/(1+$B$15)^2.5+$H$81/(1+$B$15)^3.5+$I$81/(1+$B$15)^4.5)*((1+$A116)*(E$113/$F$49))+(($I$81*((1+$A116)*(E$113/$F$49))*(1+$B$16)/($B$15-$B$16))/(1+$B$15)^4.5)-$B$14)/$B$10</f>
        <v/>
      </c>
      <c r="F116" s="43">
        <f>(($E$81/(1+$B$15)^0.5+$F$81/(1+$B$15)^1.5+$G$81/(1+$B$15)^2.5+$H$81/(1+$B$15)^3.5+$I$81/(1+$B$15)^4.5)*((1+$A116)*(F$113/$F$49))+(($I$81*((1+$A116)*(F$113/$F$49))*(1+$B$16)/($B$15-$B$16))/(1+$B$15)^4.5)-$B$14)/$B$10</f>
        <v/>
      </c>
    </row>
    <row r="117">
      <c r="A117" s="46" t="n">
        <v>0.02</v>
      </c>
      <c r="B117" s="43">
        <f>(($E$81/(1+$B$15)^0.5+$F$81/(1+$B$15)^1.5+$G$81/(1+$B$15)^2.5+$H$81/(1+$B$15)^3.5+$I$81/(1+$B$15)^4.5)*((1+$A117)*(B$113/$F$49))+(($I$81*((1+$A117)*(B$113/$F$49))*(1+$B$16)/($B$15-$B$16))/(1+$B$15)^4.5)-$B$14)/$B$10</f>
        <v/>
      </c>
      <c r="C117" s="43">
        <f>(($E$81/(1+$B$15)^0.5+$F$81/(1+$B$15)^1.5+$G$81/(1+$B$15)^2.5+$H$81/(1+$B$15)^3.5+$I$81/(1+$B$15)^4.5)*((1+$A117)*(C$113/$F$49))+(($I$81*((1+$A117)*(C$113/$F$49))*(1+$B$16)/($B$15-$B$16))/(1+$B$15)^4.5)-$B$14)/$B$10</f>
        <v/>
      </c>
      <c r="D117" s="43">
        <f>(($E$81/(1+$B$15)^0.5+$F$81/(1+$B$15)^1.5+$G$81/(1+$B$15)^2.5+$H$81/(1+$B$15)^3.5+$I$81/(1+$B$15)^4.5)*((1+$A117)*(D$113/$F$49))+(($I$81*((1+$A117)*(D$113/$F$49))*(1+$B$16)/($B$15-$B$16))/(1+$B$15)^4.5)-$B$14)/$B$10</f>
        <v/>
      </c>
      <c r="E117" s="43">
        <f>(($E$81/(1+$B$15)^0.5+$F$81/(1+$B$15)^1.5+$G$81/(1+$B$15)^2.5+$H$81/(1+$B$15)^3.5+$I$81/(1+$B$15)^4.5)*((1+$A117)*(E$113/$F$49))+(($I$81*((1+$A117)*(E$113/$F$49))*(1+$B$16)/($B$15-$B$16))/(1+$B$15)^4.5)-$B$14)/$B$10</f>
        <v/>
      </c>
      <c r="F117" s="43">
        <f>(($E$81/(1+$B$15)^0.5+$F$81/(1+$B$15)^1.5+$G$81/(1+$B$15)^2.5+$H$81/(1+$B$15)^3.5+$I$81/(1+$B$15)^4.5)*((1+$A117)*(F$113/$F$49))+(($I$81*((1+$A117)*(F$113/$F$49))*(1+$B$16)/($B$15-$B$16))/(1+$B$15)^4.5)-$B$14)/$B$10</f>
        <v/>
      </c>
    </row>
    <row r="118">
      <c r="A118" s="46" t="n">
        <v>0.04</v>
      </c>
      <c r="B118" s="43">
        <f>(($E$81/(1+$B$15)^0.5+$F$81/(1+$B$15)^1.5+$G$81/(1+$B$15)^2.5+$H$81/(1+$B$15)^3.5+$I$81/(1+$B$15)^4.5)*((1+$A118)*(B$113/$F$49))+(($I$81*((1+$A118)*(B$113/$F$49))*(1+$B$16)/($B$15-$B$16))/(1+$B$15)^4.5)-$B$14)/$B$10</f>
        <v/>
      </c>
      <c r="C118" s="43">
        <f>(($E$81/(1+$B$15)^0.5+$F$81/(1+$B$15)^1.5+$G$81/(1+$B$15)^2.5+$H$81/(1+$B$15)^3.5+$I$81/(1+$B$15)^4.5)*((1+$A118)*(C$113/$F$49))+(($I$81*((1+$A118)*(C$113/$F$49))*(1+$B$16)/($B$15-$B$16))/(1+$B$15)^4.5)-$B$14)/$B$10</f>
        <v/>
      </c>
      <c r="D118" s="43">
        <f>(($E$81/(1+$B$15)^0.5+$F$81/(1+$B$15)^1.5+$G$81/(1+$B$15)^2.5+$H$81/(1+$B$15)^3.5+$I$81/(1+$B$15)^4.5)*((1+$A118)*(D$113/$F$49))+(($I$81*((1+$A118)*(D$113/$F$49))*(1+$B$16)/($B$15-$B$16))/(1+$B$15)^4.5)-$B$14)/$B$10</f>
        <v/>
      </c>
      <c r="E118" s="43">
        <f>(($E$81/(1+$B$15)^0.5+$F$81/(1+$B$15)^1.5+$G$81/(1+$B$15)^2.5+$H$81/(1+$B$15)^3.5+$I$81/(1+$B$15)^4.5)*((1+$A118)*(E$113/$F$49))+(($I$81*((1+$A118)*(E$113/$F$49))*(1+$B$16)/($B$15-$B$16))/(1+$B$15)^4.5)-$B$14)/$B$10</f>
        <v/>
      </c>
      <c r="F118" s="43">
        <f>(($E$81/(1+$B$15)^0.5+$F$81/(1+$B$15)^1.5+$G$81/(1+$B$15)^2.5+$H$81/(1+$B$15)^3.5+$I$81/(1+$B$15)^4.5)*((1+$A118)*(F$113/$F$49))+(($I$81*((1+$A118)*(F$113/$F$49))*(1+$B$16)/($B$15-$B$16))/(1+$B$15)^4.5)-$B$14)/$B$10</f>
        <v/>
      </c>
    </row>
    <row r="120">
      <c r="A120" s="3" t="inlineStr">
        <is>
          <t>SENSITIVITY ANALYSIS 3: IMPLIED SHARE PRICE ($) - BETA (β) VS. RISK-FREE RATE (Rf)</t>
        </is>
      </c>
    </row>
    <row r="121">
      <c r="A121" s="16" t="inlineStr">
        <is>
          <t>Beta (β) \ Risk-Free Rate (Rf)</t>
        </is>
      </c>
      <c r="B121" s="48" t="n">
        <v>0.0369</v>
      </c>
      <c r="C121" s="48" t="n">
        <v>0.0419</v>
      </c>
      <c r="D121" s="44" t="n">
        <v>0.0469</v>
      </c>
      <c r="E121" s="48" t="n">
        <v>0.0519</v>
      </c>
      <c r="F121" s="48" t="n">
        <v>0.0569</v>
      </c>
    </row>
    <row r="122">
      <c r="A122" s="49" t="n">
        <v>1.6</v>
      </c>
      <c r="B122" s="43">
        <f>(($E$81/(1+(WACC!$C$26*(B$121+$A122*WACC!$B$7)+WACC!$C$27*WACC!$B$13))^0.5+$F$81/(1+(WACC!$C$26*(B$121+$A122*WACC!$B$7)+WACC!$C$27*WACC!$B$13))^1.5+$G$81/(1+(WACC!$C$26*(B$121+$A122*WACC!$B$7)+WACC!$C$27*WACC!$B$13))^2.5+$H$81/(1+(WACC!$C$26*(B$121+$A122*WACC!$B$7)+WACC!$C$27*WACC!$B$13))^3.5+$I$81/(1+(WACC!$C$26*(B$121+$A122*WACC!$B$7)+WACC!$C$27*WACC!$B$13))^4.5)+(($I$81*(1+$B$16)/((WACC!$C$26*(B$121+$A122*WACC!$B$7)+WACC!$C$27*WACC!$B$13)-$B$16))/(1+(WACC!$C$26*(B$121+$A122*WACC!$B$7)+WACC!$C$27*WACC!$B$13))^4.5)-$B$14)/$B$10</f>
        <v/>
      </c>
      <c r="C122" s="43">
        <f>(($E$81/(1+(WACC!$C$26*(C$121+$A122*WACC!$B$7)+WACC!$C$27*WACC!$B$13))^0.5+$F$81/(1+(WACC!$C$26*(C$121+$A122*WACC!$B$7)+WACC!$C$27*WACC!$B$13))^1.5+$G$81/(1+(WACC!$C$26*(C$121+$A122*WACC!$B$7)+WACC!$C$27*WACC!$B$13))^2.5+$H$81/(1+(WACC!$C$26*(C$121+$A122*WACC!$B$7)+WACC!$C$27*WACC!$B$13))^3.5+$I$81/(1+(WACC!$C$26*(C$121+$A122*WACC!$B$7)+WACC!$C$27*WACC!$B$13))^4.5)+(($I$81*(1+$B$16)/((WACC!$C$26*(C$121+$A122*WACC!$B$7)+WACC!$C$27*WACC!$B$13)-$B$16))/(1+(WACC!$C$26*(C$121+$A122*WACC!$B$7)+WACC!$C$27*WACC!$B$13))^4.5)-$B$14)/$B$10</f>
        <v/>
      </c>
      <c r="D122" s="43">
        <f>(($E$81/(1+(WACC!$C$26*(D$121+$A122*WACC!$B$7)+WACC!$C$27*WACC!$B$13))^0.5+$F$81/(1+(WACC!$C$26*(D$121+$A122*WACC!$B$7)+WACC!$C$27*WACC!$B$13))^1.5+$G$81/(1+(WACC!$C$26*(D$121+$A122*WACC!$B$7)+WACC!$C$27*WACC!$B$13))^2.5+$H$81/(1+(WACC!$C$26*(D$121+$A122*WACC!$B$7)+WACC!$C$27*WACC!$B$13))^3.5+$I$81/(1+(WACC!$C$26*(D$121+$A122*WACC!$B$7)+WACC!$C$27*WACC!$B$13))^4.5)+(($I$81*(1+$B$16)/((WACC!$C$26*(D$121+$A122*WACC!$B$7)+WACC!$C$27*WACC!$B$13)-$B$16))/(1+(WACC!$C$26*(D$121+$A122*WACC!$B$7)+WACC!$C$27*WACC!$B$13))^4.5)-$B$14)/$B$10</f>
        <v/>
      </c>
      <c r="E122" s="43">
        <f>(($E$81/(1+(WACC!$C$26*(E$121+$A122*WACC!$B$7)+WACC!$C$27*WACC!$B$13))^0.5+$F$81/(1+(WACC!$C$26*(E$121+$A122*WACC!$B$7)+WACC!$C$27*WACC!$B$13))^1.5+$G$81/(1+(WACC!$C$26*(E$121+$A122*WACC!$B$7)+WACC!$C$27*WACC!$B$13))^2.5+$H$81/(1+(WACC!$C$26*(E$121+$A122*WACC!$B$7)+WACC!$C$27*WACC!$B$13))^3.5+$I$81/(1+(WACC!$C$26*(E$121+$A122*WACC!$B$7)+WACC!$C$27*WACC!$B$13))^4.5)+(($I$81*(1+$B$16)/((WACC!$C$26*(E$121+$A122*WACC!$B$7)+WACC!$C$27*WACC!$B$13)-$B$16))/(1+(WACC!$C$26*(E$121+$A122*WACC!$B$7)+WACC!$C$27*WACC!$B$13))^4.5)-$B$14)/$B$10</f>
        <v/>
      </c>
      <c r="F122" s="43">
        <f>(($E$81/(1+(WACC!$C$26*(F$121+$A122*WACC!$B$7)+WACC!$C$27*WACC!$B$13))^0.5+$F$81/(1+(WACC!$C$26*(F$121+$A122*WACC!$B$7)+WACC!$C$27*WACC!$B$13))^1.5+$G$81/(1+(WACC!$C$26*(F$121+$A122*WACC!$B$7)+WACC!$C$27*WACC!$B$13))^2.5+$H$81/(1+(WACC!$C$26*(F$121+$A122*WACC!$B$7)+WACC!$C$27*WACC!$B$13))^3.5+$I$81/(1+(WACC!$C$26*(F$121+$A122*WACC!$B$7)+WACC!$C$27*WACC!$B$13))^4.5)+(($I$81*(1+$B$16)/((WACC!$C$26*(F$121+$A122*WACC!$B$7)+WACC!$C$27*WACC!$B$13)-$B$16))/(1+(WACC!$C$26*(F$121+$A122*WACC!$B$7)+WACC!$C$27*WACC!$B$13))^4.5)-$B$14)/$B$10</f>
        <v/>
      </c>
    </row>
    <row r="123">
      <c r="A123" s="49" t="n">
        <v>1.8</v>
      </c>
      <c r="B123" s="43">
        <f>(($E$81/(1+(WACC!$C$26*(B$121+$A123*WACC!$B$7)+WACC!$C$27*WACC!$B$13))^0.5+$F$81/(1+(WACC!$C$26*(B$121+$A123*WACC!$B$7)+WACC!$C$27*WACC!$B$13))^1.5+$G$81/(1+(WACC!$C$26*(B$121+$A123*WACC!$B$7)+WACC!$C$27*WACC!$B$13))^2.5+$H$81/(1+(WACC!$C$26*(B$121+$A123*WACC!$B$7)+WACC!$C$27*WACC!$B$13))^3.5+$I$81/(1+(WACC!$C$26*(B$121+$A123*WACC!$B$7)+WACC!$C$27*WACC!$B$13))^4.5)+(($I$81*(1+$B$16)/((WACC!$C$26*(B$121+$A123*WACC!$B$7)+WACC!$C$27*WACC!$B$13)-$B$16))/(1+(WACC!$C$26*(B$121+$A123*WACC!$B$7)+WACC!$C$27*WACC!$B$13))^4.5)-$B$14)/$B$10</f>
        <v/>
      </c>
      <c r="C123" s="43">
        <f>(($E$81/(1+(WACC!$C$26*(C$121+$A123*WACC!$B$7)+WACC!$C$27*WACC!$B$13))^0.5+$F$81/(1+(WACC!$C$26*(C$121+$A123*WACC!$B$7)+WACC!$C$27*WACC!$B$13))^1.5+$G$81/(1+(WACC!$C$26*(C$121+$A123*WACC!$B$7)+WACC!$C$27*WACC!$B$13))^2.5+$H$81/(1+(WACC!$C$26*(C$121+$A123*WACC!$B$7)+WACC!$C$27*WACC!$B$13))^3.5+$I$81/(1+(WACC!$C$26*(C$121+$A123*WACC!$B$7)+WACC!$C$27*WACC!$B$13))^4.5)+(($I$81*(1+$B$16)/((WACC!$C$26*(C$121+$A123*WACC!$B$7)+WACC!$C$27*WACC!$B$13)-$B$16))/(1+(WACC!$C$26*(C$121+$A123*WACC!$B$7)+WACC!$C$27*WACC!$B$13))^4.5)-$B$14)/$B$10</f>
        <v/>
      </c>
      <c r="D123" s="43">
        <f>(($E$81/(1+(WACC!$C$26*(D$121+$A123*WACC!$B$7)+WACC!$C$27*WACC!$B$13))^0.5+$F$81/(1+(WACC!$C$26*(D$121+$A123*WACC!$B$7)+WACC!$C$27*WACC!$B$13))^1.5+$G$81/(1+(WACC!$C$26*(D$121+$A123*WACC!$B$7)+WACC!$C$27*WACC!$B$13))^2.5+$H$81/(1+(WACC!$C$26*(D$121+$A123*WACC!$B$7)+WACC!$C$27*WACC!$B$13))^3.5+$I$81/(1+(WACC!$C$26*(D$121+$A123*WACC!$B$7)+WACC!$C$27*WACC!$B$13))^4.5)+(($I$81*(1+$B$16)/((WACC!$C$26*(D$121+$A123*WACC!$B$7)+WACC!$C$27*WACC!$B$13)-$B$16))/(1+(WACC!$C$26*(D$121+$A123*WACC!$B$7)+WACC!$C$27*WACC!$B$13))^4.5)-$B$14)/$B$10</f>
        <v/>
      </c>
      <c r="E123" s="43">
        <f>(($E$81/(1+(WACC!$C$26*(E$121+$A123*WACC!$B$7)+WACC!$C$27*WACC!$B$13))^0.5+$F$81/(1+(WACC!$C$26*(E$121+$A123*WACC!$B$7)+WACC!$C$27*WACC!$B$13))^1.5+$G$81/(1+(WACC!$C$26*(E$121+$A123*WACC!$B$7)+WACC!$C$27*WACC!$B$13))^2.5+$H$81/(1+(WACC!$C$26*(E$121+$A123*WACC!$B$7)+WACC!$C$27*WACC!$B$13))^3.5+$I$81/(1+(WACC!$C$26*(E$121+$A123*WACC!$B$7)+WACC!$C$27*WACC!$B$13))^4.5)+(($I$81*(1+$B$16)/((WACC!$C$26*(E$121+$A123*WACC!$B$7)+WACC!$C$27*WACC!$B$13)-$B$16))/(1+(WACC!$C$26*(E$121+$A123*WACC!$B$7)+WACC!$C$27*WACC!$B$13))^4.5)-$B$14)/$B$10</f>
        <v/>
      </c>
      <c r="F123" s="43">
        <f>(($E$81/(1+(WACC!$C$26*(F$121+$A123*WACC!$B$7)+WACC!$C$27*WACC!$B$13))^0.5+$F$81/(1+(WACC!$C$26*(F$121+$A123*WACC!$B$7)+WACC!$C$27*WACC!$B$13))^1.5+$G$81/(1+(WACC!$C$26*(F$121+$A123*WACC!$B$7)+WACC!$C$27*WACC!$B$13))^2.5+$H$81/(1+(WACC!$C$26*(F$121+$A123*WACC!$B$7)+WACC!$C$27*WACC!$B$13))^3.5+$I$81/(1+(WACC!$C$26*(F$121+$A123*WACC!$B$7)+WACC!$C$27*WACC!$B$13))^4.5)+(($I$81*(1+$B$16)/((WACC!$C$26*(F$121+$A123*WACC!$B$7)+WACC!$C$27*WACC!$B$13)-$B$16))/(1+(WACC!$C$26*(F$121+$A123*WACC!$B$7)+WACC!$C$27*WACC!$B$13))^4.5)-$B$14)/$B$10</f>
        <v/>
      </c>
    </row>
    <row r="124">
      <c r="A124" s="50" t="n">
        <v>2</v>
      </c>
      <c r="B124" s="43">
        <f>(($E$81/(1+(WACC!$C$26*(B$121+$A124*WACC!$B$7)+WACC!$C$27*WACC!$B$13))^0.5+$F$81/(1+(WACC!$C$26*(B$121+$A124*WACC!$B$7)+WACC!$C$27*WACC!$B$13))^1.5+$G$81/(1+(WACC!$C$26*(B$121+$A124*WACC!$B$7)+WACC!$C$27*WACC!$B$13))^2.5+$H$81/(1+(WACC!$C$26*(B$121+$A124*WACC!$B$7)+WACC!$C$27*WACC!$B$13))^3.5+$I$81/(1+(WACC!$C$26*(B$121+$A124*WACC!$B$7)+WACC!$C$27*WACC!$B$13))^4.5)+(($I$81*(1+$B$16)/((WACC!$C$26*(B$121+$A124*WACC!$B$7)+WACC!$C$27*WACC!$B$13)-$B$16))/(1+(WACC!$C$26*(B$121+$A124*WACC!$B$7)+WACC!$C$27*WACC!$B$13))^4.5)-$B$14)/$B$10</f>
        <v/>
      </c>
      <c r="C124" s="43">
        <f>(($E$81/(1+(WACC!$C$26*(C$121+$A124*WACC!$B$7)+WACC!$C$27*WACC!$B$13))^0.5+$F$81/(1+(WACC!$C$26*(C$121+$A124*WACC!$B$7)+WACC!$C$27*WACC!$B$13))^1.5+$G$81/(1+(WACC!$C$26*(C$121+$A124*WACC!$B$7)+WACC!$C$27*WACC!$B$13))^2.5+$H$81/(1+(WACC!$C$26*(C$121+$A124*WACC!$B$7)+WACC!$C$27*WACC!$B$13))^3.5+$I$81/(1+(WACC!$C$26*(C$121+$A124*WACC!$B$7)+WACC!$C$27*WACC!$B$13))^4.5)+(($I$81*(1+$B$16)/((WACC!$C$26*(C$121+$A124*WACC!$B$7)+WACC!$C$27*WACC!$B$13)-$B$16))/(1+(WACC!$C$26*(C$121+$A124*WACC!$B$7)+WACC!$C$27*WACC!$B$13))^4.5)-$B$14)/$B$10</f>
        <v/>
      </c>
      <c r="D124" s="45">
        <f>(($E$81/(1+(WACC!$C$26*(D$121+$A124*WACC!$B$7)+WACC!$C$27*WACC!$B$13))^0.5+$F$81/(1+(WACC!$C$26*(D$121+$A124*WACC!$B$7)+WACC!$C$27*WACC!$B$13))^1.5+$G$81/(1+(WACC!$C$26*(D$121+$A124*WACC!$B$7)+WACC!$C$27*WACC!$B$13))^2.5+$H$81/(1+(WACC!$C$26*(D$121+$A124*WACC!$B$7)+WACC!$C$27*WACC!$B$13))^3.5+$I$81/(1+(WACC!$C$26*(D$121+$A124*WACC!$B$7)+WACC!$C$27*WACC!$B$13))^4.5)+(($I$81*(1+$B$16)/((WACC!$C$26*(D$121+$A124*WACC!$B$7)+WACC!$C$27*WACC!$B$13)-$B$16))/(1+(WACC!$C$26*(D$121+$A124*WACC!$B$7)+WACC!$C$27*WACC!$B$13))^4.5)-$B$14)/$B$10</f>
        <v/>
      </c>
      <c r="E124" s="43">
        <f>(($E$81/(1+(WACC!$C$26*(E$121+$A124*WACC!$B$7)+WACC!$C$27*WACC!$B$13))^0.5+$F$81/(1+(WACC!$C$26*(E$121+$A124*WACC!$B$7)+WACC!$C$27*WACC!$B$13))^1.5+$G$81/(1+(WACC!$C$26*(E$121+$A124*WACC!$B$7)+WACC!$C$27*WACC!$B$13))^2.5+$H$81/(1+(WACC!$C$26*(E$121+$A124*WACC!$B$7)+WACC!$C$27*WACC!$B$13))^3.5+$I$81/(1+(WACC!$C$26*(E$121+$A124*WACC!$B$7)+WACC!$C$27*WACC!$B$13))^4.5)+(($I$81*(1+$B$16)/((WACC!$C$26*(E$121+$A124*WACC!$B$7)+WACC!$C$27*WACC!$B$13)-$B$16))/(1+(WACC!$C$26*(E$121+$A124*WACC!$B$7)+WACC!$C$27*WACC!$B$13))^4.5)-$B$14)/$B$10</f>
        <v/>
      </c>
      <c r="F124" s="43">
        <f>(($E$81/(1+(WACC!$C$26*(F$121+$A124*WACC!$B$7)+WACC!$C$27*WACC!$B$13))^0.5+$F$81/(1+(WACC!$C$26*(F$121+$A124*WACC!$B$7)+WACC!$C$27*WACC!$B$13))^1.5+$G$81/(1+(WACC!$C$26*(F$121+$A124*WACC!$B$7)+WACC!$C$27*WACC!$B$13))^2.5+$H$81/(1+(WACC!$C$26*(F$121+$A124*WACC!$B$7)+WACC!$C$27*WACC!$B$13))^3.5+$I$81/(1+(WACC!$C$26*(F$121+$A124*WACC!$B$7)+WACC!$C$27*WACC!$B$13))^4.5)+(($I$81*(1+$B$16)/((WACC!$C$26*(F$121+$A124*WACC!$B$7)+WACC!$C$27*WACC!$B$13)-$B$16))/(1+(WACC!$C$26*(F$121+$A124*WACC!$B$7)+WACC!$C$27*WACC!$B$13))^4.5)-$B$14)/$B$10</f>
        <v/>
      </c>
    </row>
    <row r="125">
      <c r="A125" s="49" t="n">
        <v>2.2</v>
      </c>
      <c r="B125" s="43">
        <f>(($E$81/(1+(WACC!$C$26*(B$121+$A125*WACC!$B$7)+WACC!$C$27*WACC!$B$13))^0.5+$F$81/(1+(WACC!$C$26*(B$121+$A125*WACC!$B$7)+WACC!$C$27*WACC!$B$13))^1.5+$G$81/(1+(WACC!$C$26*(B$121+$A125*WACC!$B$7)+WACC!$C$27*WACC!$B$13))^2.5+$H$81/(1+(WACC!$C$26*(B$121+$A125*WACC!$B$7)+WACC!$C$27*WACC!$B$13))^3.5+$I$81/(1+(WACC!$C$26*(B$121+$A125*WACC!$B$7)+WACC!$C$27*WACC!$B$13))^4.5)+(($I$81*(1+$B$16)/((WACC!$C$26*(B$121+$A125*WACC!$B$7)+WACC!$C$27*WACC!$B$13)-$B$16))/(1+(WACC!$C$26*(B$121+$A125*WACC!$B$7)+WACC!$C$27*WACC!$B$13))^4.5)-$B$14)/$B$10</f>
        <v/>
      </c>
      <c r="C125" s="43">
        <f>(($E$81/(1+(WACC!$C$26*(C$121+$A125*WACC!$B$7)+WACC!$C$27*WACC!$B$13))^0.5+$F$81/(1+(WACC!$C$26*(C$121+$A125*WACC!$B$7)+WACC!$C$27*WACC!$B$13))^1.5+$G$81/(1+(WACC!$C$26*(C$121+$A125*WACC!$B$7)+WACC!$C$27*WACC!$B$13))^2.5+$H$81/(1+(WACC!$C$26*(C$121+$A125*WACC!$B$7)+WACC!$C$27*WACC!$B$13))^3.5+$I$81/(1+(WACC!$C$26*(C$121+$A125*WACC!$B$7)+WACC!$C$27*WACC!$B$13))^4.5)+(($I$81*(1+$B$16)/((WACC!$C$26*(C$121+$A125*WACC!$B$7)+WACC!$C$27*WACC!$B$13)-$B$16))/(1+(WACC!$C$26*(C$121+$A125*WACC!$B$7)+WACC!$C$27*WACC!$B$13))^4.5)-$B$14)/$B$10</f>
        <v/>
      </c>
      <c r="D125" s="43">
        <f>(($E$81/(1+(WACC!$C$26*(D$121+$A125*WACC!$B$7)+WACC!$C$27*WACC!$B$13))^0.5+$F$81/(1+(WACC!$C$26*(D$121+$A125*WACC!$B$7)+WACC!$C$27*WACC!$B$13))^1.5+$G$81/(1+(WACC!$C$26*(D$121+$A125*WACC!$B$7)+WACC!$C$27*WACC!$B$13))^2.5+$H$81/(1+(WACC!$C$26*(D$121+$A125*WACC!$B$7)+WACC!$C$27*WACC!$B$13))^3.5+$I$81/(1+(WACC!$C$26*(D$121+$A125*WACC!$B$7)+WACC!$C$27*WACC!$B$13))^4.5)+(($I$81*(1+$B$16)/((WACC!$C$26*(D$121+$A125*WACC!$B$7)+WACC!$C$27*WACC!$B$13)-$B$16))/(1+(WACC!$C$26*(D$121+$A125*WACC!$B$7)+WACC!$C$27*WACC!$B$13))^4.5)-$B$14)/$B$10</f>
        <v/>
      </c>
      <c r="E125" s="43">
        <f>(($E$81/(1+(WACC!$C$26*(E$121+$A125*WACC!$B$7)+WACC!$C$27*WACC!$B$13))^0.5+$F$81/(1+(WACC!$C$26*(E$121+$A125*WACC!$B$7)+WACC!$C$27*WACC!$B$13))^1.5+$G$81/(1+(WACC!$C$26*(E$121+$A125*WACC!$B$7)+WACC!$C$27*WACC!$B$13))^2.5+$H$81/(1+(WACC!$C$26*(E$121+$A125*WACC!$B$7)+WACC!$C$27*WACC!$B$13))^3.5+$I$81/(1+(WACC!$C$26*(E$121+$A125*WACC!$B$7)+WACC!$C$27*WACC!$B$13))^4.5)+(($I$81*(1+$B$16)/((WACC!$C$26*(E$121+$A125*WACC!$B$7)+WACC!$C$27*WACC!$B$13)-$B$16))/(1+(WACC!$C$26*(E$121+$A125*WACC!$B$7)+WACC!$C$27*WACC!$B$13))^4.5)-$B$14)/$B$10</f>
        <v/>
      </c>
      <c r="F125" s="43">
        <f>(($E$81/(1+(WACC!$C$26*(F$121+$A125*WACC!$B$7)+WACC!$C$27*WACC!$B$13))^0.5+$F$81/(1+(WACC!$C$26*(F$121+$A125*WACC!$B$7)+WACC!$C$27*WACC!$B$13))^1.5+$G$81/(1+(WACC!$C$26*(F$121+$A125*WACC!$B$7)+WACC!$C$27*WACC!$B$13))^2.5+$H$81/(1+(WACC!$C$26*(F$121+$A125*WACC!$B$7)+WACC!$C$27*WACC!$B$13))^3.5+$I$81/(1+(WACC!$C$26*(F$121+$A125*WACC!$B$7)+WACC!$C$27*WACC!$B$13))^4.5)+(($I$81*(1+$B$16)/((WACC!$C$26*(F$121+$A125*WACC!$B$7)+WACC!$C$27*WACC!$B$13)-$B$16))/(1+(WACC!$C$26*(F$121+$A125*WACC!$B$7)+WACC!$C$27*WACC!$B$13))^4.5)-$B$14)/$B$10</f>
        <v/>
      </c>
    </row>
    <row r="126">
      <c r="A126" s="49" t="n">
        <v>2.4</v>
      </c>
      <c r="B126" s="43">
        <f>(($E$81/(1+(WACC!$C$26*(B$121+$A126*WACC!$B$7)+WACC!$C$27*WACC!$B$13))^0.5+$F$81/(1+(WACC!$C$26*(B$121+$A126*WACC!$B$7)+WACC!$C$27*WACC!$B$13))^1.5+$G$81/(1+(WACC!$C$26*(B$121+$A126*WACC!$B$7)+WACC!$C$27*WACC!$B$13))^2.5+$H$81/(1+(WACC!$C$26*(B$121+$A126*WACC!$B$7)+WACC!$C$27*WACC!$B$13))^3.5+$I$81/(1+(WACC!$C$26*(B$121+$A126*WACC!$B$7)+WACC!$C$27*WACC!$B$13))^4.5)+(($I$81*(1+$B$16)/((WACC!$C$26*(B$121+$A126*WACC!$B$7)+WACC!$C$27*WACC!$B$13)-$B$16))/(1+(WACC!$C$26*(B$121+$A126*WACC!$B$7)+WACC!$C$27*WACC!$B$13))^4.5)-$B$14)/$B$10</f>
        <v/>
      </c>
      <c r="C126" s="43">
        <f>(($E$81/(1+(WACC!$C$26*(C$121+$A126*WACC!$B$7)+WACC!$C$27*WACC!$B$13))^0.5+$F$81/(1+(WACC!$C$26*(C$121+$A126*WACC!$B$7)+WACC!$C$27*WACC!$B$13))^1.5+$G$81/(1+(WACC!$C$26*(C$121+$A126*WACC!$B$7)+WACC!$C$27*WACC!$B$13))^2.5+$H$81/(1+(WACC!$C$26*(C$121+$A126*WACC!$B$7)+WACC!$C$27*WACC!$B$13))^3.5+$I$81/(1+(WACC!$C$26*(C$121+$A126*WACC!$B$7)+WACC!$C$27*WACC!$B$13))^4.5)+(($I$81*(1+$B$16)/((WACC!$C$26*(C$121+$A126*WACC!$B$7)+WACC!$C$27*WACC!$B$13)-$B$16))/(1+(WACC!$C$26*(C$121+$A126*WACC!$B$7)+WACC!$C$27*WACC!$B$13))^4.5)-$B$14)/$B$10</f>
        <v/>
      </c>
      <c r="D126" s="43">
        <f>(($E$81/(1+(WACC!$C$26*(D$121+$A126*WACC!$B$7)+WACC!$C$27*WACC!$B$13))^0.5+$F$81/(1+(WACC!$C$26*(D$121+$A126*WACC!$B$7)+WACC!$C$27*WACC!$B$13))^1.5+$G$81/(1+(WACC!$C$26*(D$121+$A126*WACC!$B$7)+WACC!$C$27*WACC!$B$13))^2.5+$H$81/(1+(WACC!$C$26*(D$121+$A126*WACC!$B$7)+WACC!$C$27*WACC!$B$13))^3.5+$I$81/(1+(WACC!$C$26*(D$121+$A126*WACC!$B$7)+WACC!$C$27*WACC!$B$13))^4.5)+(($I$81*(1+$B$16)/((WACC!$C$26*(D$121+$A126*WACC!$B$7)+WACC!$C$27*WACC!$B$13)-$B$16))/(1+(WACC!$C$26*(D$121+$A126*WACC!$B$7)+WACC!$C$27*WACC!$B$13))^4.5)-$B$14)/$B$10</f>
        <v/>
      </c>
      <c r="E126" s="43">
        <f>(($E$81/(1+(WACC!$C$26*(E$121+$A126*WACC!$B$7)+WACC!$C$27*WACC!$B$13))^0.5+$F$81/(1+(WACC!$C$26*(E$121+$A126*WACC!$B$7)+WACC!$C$27*WACC!$B$13))^1.5+$G$81/(1+(WACC!$C$26*(E$121+$A126*WACC!$B$7)+WACC!$C$27*WACC!$B$13))^2.5+$H$81/(1+(WACC!$C$26*(E$121+$A126*WACC!$B$7)+WACC!$C$27*WACC!$B$13))^3.5+$I$81/(1+(WACC!$C$26*(E$121+$A126*WACC!$B$7)+WACC!$C$27*WACC!$B$13))^4.5)+(($I$81*(1+$B$16)/((WACC!$C$26*(E$121+$A126*WACC!$B$7)+WACC!$C$27*WACC!$B$13)-$B$16))/(1+(WACC!$C$26*(E$121+$A126*WACC!$B$7)+WACC!$C$27*WACC!$B$13))^4.5)-$B$14)/$B$10</f>
        <v/>
      </c>
      <c r="F126" s="43">
        <f>(($E$81/(1+(WACC!$C$26*(F$121+$A126*WACC!$B$7)+WACC!$C$27*WACC!$B$13))^0.5+$F$81/(1+(WACC!$C$26*(F$121+$A126*WACC!$B$7)+WACC!$C$27*WACC!$B$13))^1.5+$G$81/(1+(WACC!$C$26*(F$121+$A126*WACC!$B$7)+WACC!$C$27*WACC!$B$13))^2.5+$H$81/(1+(WACC!$C$26*(F$121+$A126*WACC!$B$7)+WACC!$C$27*WACC!$B$13))^3.5+$I$81/(1+(WACC!$C$26*(F$121+$A126*WACC!$B$7)+WACC!$C$27*WACC!$B$13))^4.5)+(($I$81*(1+$B$16)/((WACC!$C$26*(F$121+$A126*WACC!$B$7)+WACC!$C$27*WACC!$B$13)-$B$16))/(1+(WACC!$C$26*(F$121+$A126*WACC!$B$7)+WACC!$C$27*WACC!$B$13))^4.5)-$B$14)/$B$10</f>
        <v/>
      </c>
    </row>
  </sheetData>
  <mergeCells count="13">
    <mergeCell ref="A8:D8"/>
    <mergeCell ref="A68:I68"/>
    <mergeCell ref="A112:F112"/>
    <mergeCell ref="A36:F36"/>
    <mergeCell ref="A4:D4"/>
    <mergeCell ref="A45:F45"/>
    <mergeCell ref="A27:F27"/>
    <mergeCell ref="A86:D86"/>
    <mergeCell ref="A120:F120"/>
    <mergeCell ref="A79:I79"/>
    <mergeCell ref="A18:F18"/>
    <mergeCell ref="A55:I55"/>
    <mergeCell ref="A104:F10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THE REALREAL, INC. (NASDAQ: REAL) - COST OF CAPITAL (WACC)</t>
        </is>
      </c>
    </row>
    <row r="2">
      <c r="A2" s="2" t="inlineStr">
        <is>
          <t>Valuation Date: August 19, 2026 | Currency: USD ($M) | Investment Banking Standard Model</t>
        </is>
      </c>
    </row>
    <row r="4">
      <c r="A4" s="3" t="inlineStr">
        <is>
          <t>COST OF EQUITY CALCULATION (CAPM)</t>
        </is>
      </c>
    </row>
    <row r="5">
      <c r="A5" s="7" t="inlineStr">
        <is>
          <t>Risk-Free Rate (Rf) [10-Year US Treasury]</t>
        </is>
      </c>
      <c r="B5" s="14" t="n">
        <v>0.0469</v>
      </c>
    </row>
    <row r="6">
      <c r="A6" s="7" t="inlineStr">
        <is>
          <t>Beta (β) [Adjusted Forward 5Y Monthly Beta]</t>
        </is>
      </c>
      <c r="B6" s="9" t="n">
        <v>2</v>
      </c>
    </row>
    <row r="7">
      <c r="A7" s="7" t="inlineStr">
        <is>
          <t>Equity Risk Premium (ERP)</t>
        </is>
      </c>
      <c r="B7" s="14" t="n">
        <v>0.055</v>
      </c>
    </row>
    <row r="8">
      <c r="A8" s="10" t="inlineStr">
        <is>
          <t>Cost of Equity (Ke)</t>
        </is>
      </c>
      <c r="B8" s="51">
        <f>B5+B6*B7</f>
        <v/>
      </c>
    </row>
    <row r="10">
      <c r="A10" s="3" t="inlineStr">
        <is>
          <t>COST OF DEBT CALCULATION</t>
        </is>
      </c>
    </row>
    <row r="11">
      <c r="A11" s="7" t="inlineStr">
        <is>
          <t>Pre-Tax Cost of Debt (Kd)</t>
        </is>
      </c>
      <c r="B11" s="14" t="n">
        <v>0.075</v>
      </c>
    </row>
    <row r="12">
      <c r="A12" s="7" t="inlineStr">
        <is>
          <t>Marginal Tax Rate (t)</t>
        </is>
      </c>
      <c r="B12" s="13">
        <f>DCF!$B$53</f>
        <v/>
      </c>
    </row>
    <row r="13">
      <c r="A13" s="10" t="inlineStr">
        <is>
          <t>After-Tax Cost of Debt [Kd * (1 - t)]</t>
        </is>
      </c>
      <c r="B13" s="51">
        <f>B11*(1-B12)</f>
        <v/>
      </c>
    </row>
    <row r="15">
      <c r="A15" s="3" t="inlineStr">
        <is>
          <t>CAPITAL STRUCTURE &amp; ENTERPRISE VALUE ($M)</t>
        </is>
      </c>
    </row>
    <row r="16">
      <c r="A16" s="7" t="inlineStr">
        <is>
          <t>Current Stock Price ($)</t>
        </is>
      </c>
      <c r="B16" s="52">
        <f>DCF!$B$9</f>
        <v/>
      </c>
    </row>
    <row r="17">
      <c r="A17" s="7" t="inlineStr">
        <is>
          <t>Diluted Shares Outstanding (M)</t>
        </is>
      </c>
      <c r="B17" s="53">
        <f>DCF!$B$10</f>
        <v/>
      </c>
    </row>
    <row r="18">
      <c r="A18" s="10" t="inlineStr">
        <is>
          <t>Market Capitalization (Equity Value)</t>
        </is>
      </c>
      <c r="B18" s="11">
        <f>B16*B17</f>
        <v/>
      </c>
    </row>
    <row r="19">
      <c r="A19" s="7" t="inlineStr">
        <is>
          <t>Total Debt ($M)</t>
        </is>
      </c>
      <c r="B19" s="54" t="n">
        <v>375.8</v>
      </c>
    </row>
    <row r="20">
      <c r="A20" s="7" t="inlineStr">
        <is>
          <t>Cash &amp; Cash Equivalents ($M)</t>
        </is>
      </c>
      <c r="B20" s="54" t="n">
        <v>119.1</v>
      </c>
    </row>
    <row r="21">
      <c r="A21" s="10" t="inlineStr">
        <is>
          <t>Net Debt ($M) [Total Debt - Cash]</t>
        </is>
      </c>
      <c r="B21" s="11">
        <f>B19-B20</f>
        <v/>
      </c>
    </row>
    <row r="22">
      <c r="A22" s="10" t="inlineStr">
        <is>
          <t>Enterprise Value ($M) [Market Cap + Net Debt]</t>
        </is>
      </c>
      <c r="B22" s="55">
        <f>B18+B21</f>
        <v/>
      </c>
    </row>
    <row r="24">
      <c r="A24" s="3" t="inlineStr">
        <is>
          <t>WEIGHTED AVERAGE COST OF CAPITAL (WACC) BREAKDOWN</t>
        </is>
      </c>
    </row>
    <row r="25">
      <c r="A25" s="16" t="inlineStr">
        <is>
          <t>Capital Component</t>
        </is>
      </c>
      <c r="B25" s="16" t="inlineStr">
        <is>
          <t>Amount ($M)</t>
        </is>
      </c>
      <c r="C25" s="16" t="inlineStr">
        <is>
          <t>Capital Weight (%)</t>
        </is>
      </c>
      <c r="D25" s="16" t="inlineStr">
        <is>
          <t>Cost of Capital (%)</t>
        </is>
      </c>
      <c r="E25" s="16" t="inlineStr">
        <is>
          <t>Weighted Cost (%)</t>
        </is>
      </c>
    </row>
    <row r="26">
      <c r="A26" s="17" t="inlineStr">
        <is>
          <t>Equity</t>
        </is>
      </c>
      <c r="B26" s="27">
        <f>B18</f>
        <v/>
      </c>
      <c r="C26" s="56">
        <f>B26/$B$22</f>
        <v/>
      </c>
      <c r="D26" s="56">
        <f>B8</f>
        <v/>
      </c>
      <c r="E26" s="56">
        <f>C26*D26</f>
        <v/>
      </c>
    </row>
    <row r="27">
      <c r="A27" s="17" t="inlineStr">
        <is>
          <t>Net Debt</t>
        </is>
      </c>
      <c r="B27" s="27">
        <f>B21</f>
        <v/>
      </c>
      <c r="C27" s="56">
        <f>B27/$B$22</f>
        <v/>
      </c>
      <c r="D27" s="56">
        <f>B13</f>
        <v/>
      </c>
      <c r="E27" s="56">
        <f>C27*D27</f>
        <v/>
      </c>
    </row>
    <row r="28">
      <c r="A28" s="19" t="inlineStr">
        <is>
          <t>Total Capitalization</t>
        </is>
      </c>
      <c r="B28" s="23">
        <f>SUM(B26:B27)</f>
        <v/>
      </c>
      <c r="C28" s="57">
        <f>SUM(C26:C27)</f>
        <v/>
      </c>
      <c r="D28" s="58" t="inlineStr">
        <is>
          <t>-</t>
        </is>
      </c>
      <c r="E28" s="57">
        <f>SUM(E26:E27)</f>
        <v/>
      </c>
    </row>
    <row r="30">
      <c r="A30" s="59" t="inlineStr">
        <is>
          <t>WEIGHTED AVERAGE COST OF CAPITAL (WACC)</t>
        </is>
      </c>
      <c r="B30" s="60">
        <f>E28</f>
        <v/>
      </c>
    </row>
  </sheetData>
  <mergeCells count="4">
    <mergeCell ref="A10:D10"/>
    <mergeCell ref="A4:D4"/>
    <mergeCell ref="A24:E24"/>
    <mergeCell ref="A15:D1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2026-08-19T06:30:07Z</dcterms:created>
  <dcterms:modified xmlns:dcterms="http://purl.org/dc/terms/" xmlns:xsi="http://www.w3.org/2001/XMLSchema-instance" xsi:type="dcterms:W3CDTF">2026-08-19T06:30:07Z</dcterms:modified>
</cp:coreProperties>
</file>