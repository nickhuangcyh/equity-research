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(#,##0.0);&quot;-&quot;"/>
    <numFmt numFmtId="165" formatCode="$#,##0.00"/>
    <numFmt numFmtId="166" formatCode="0.0%"/>
    <numFmt numFmtId="167" formatCode="0.0"/>
    <numFmt numFmtId="168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1"/>
    </font>
    <font>
      <name val="Calibri"/>
      <b val="1"/>
      <color rgb="00FFFFFF"/>
      <sz val="14"/>
    </font>
    <font>
      <name val="Calibri"/>
      <b val="1"/>
      <color rgb="000000FF"/>
      <sz val="12"/>
    </font>
    <font>
      <name val="Calibri"/>
      <b val="1"/>
      <color rgb="00000000"/>
      <sz val="12"/>
    </font>
    <font>
      <name val="Calibri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1" fontId="9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4" applyAlignment="1" pivotButton="0" quotePrefix="0" xfId="0">
      <alignment horizontal="left" vertical="center"/>
    </xf>
    <xf numFmtId="0" fontId="3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4" applyAlignment="1" pivotButton="0" quotePrefix="0" xfId="0">
      <alignment horizontal="left" vertical="center"/>
    </xf>
    <xf numFmtId="165" fontId="6" fillId="4" borderId="5" applyAlignment="1" pivotButton="0" quotePrefix="0" xfId="0">
      <alignment horizontal="right" vertical="center"/>
    </xf>
    <xf numFmtId="0" fontId="0" fillId="0" borderId="5" applyAlignment="1" pivotButton="0" quotePrefix="0" xfId="0">
      <alignment horizontal="center" vertical="center"/>
    </xf>
    <xf numFmtId="0" fontId="2" fillId="0" borderId="5" pivotButton="0" quotePrefix="0" xfId="0"/>
    <xf numFmtId="164" fontId="6" fillId="4" borderId="5" applyAlignment="1" pivotButton="0" quotePrefix="0" xfId="0">
      <alignment horizontal="right" vertical="center"/>
    </xf>
    <xf numFmtId="164" fontId="5" fillId="0" borderId="5" applyAlignment="1" pivotButton="0" quotePrefix="0" xfId="0">
      <alignment horizontal="right" vertical="center"/>
    </xf>
    <xf numFmtId="0" fontId="0" fillId="0" borderId="5" pivotButton="0" quotePrefix="0" xfId="0"/>
    <xf numFmtId="0" fontId="5" fillId="0" borderId="7" applyAlignment="1" pivotButton="0" quotePrefix="0" xfId="0">
      <alignment horizontal="left" vertical="center"/>
    </xf>
    <xf numFmtId="164" fontId="6" fillId="4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center" vertical="center"/>
    </xf>
    <xf numFmtId="0" fontId="2" fillId="0" borderId="8" pivotButton="0" quotePrefix="0" xfId="0"/>
    <xf numFmtId="0" fontId="0" fillId="0" borderId="9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right" vertical="center"/>
    </xf>
    <xf numFmtId="0" fontId="3" fillId="3" borderId="6" applyAlignment="1" pivotButton="0" quotePrefix="0" xfId="0">
      <alignment horizontal="center" vertical="center"/>
    </xf>
    <xf numFmtId="166" fontId="5" fillId="3" borderId="5" applyAlignment="1" pivotButton="0" quotePrefix="0" xfId="0">
      <alignment horizontal="right" vertical="center"/>
    </xf>
    <xf numFmtId="166" fontId="5" fillId="3" borderId="6" applyAlignment="1" pivotButton="0" quotePrefix="0" xfId="0">
      <alignment horizontal="right" vertical="center"/>
    </xf>
    <xf numFmtId="0" fontId="0" fillId="0" borderId="8" pivotButton="0" quotePrefix="0" xfId="0"/>
    <xf numFmtId="166" fontId="5" fillId="3" borderId="8" applyAlignment="1" pivotButton="0" quotePrefix="0" xfId="0">
      <alignment horizontal="right" vertical="center"/>
    </xf>
    <xf numFmtId="166" fontId="5" fillId="3" borderId="9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164" fontId="5" fillId="0" borderId="6" applyAlignment="1" pivotButton="0" quotePrefix="0" xfId="0">
      <alignment horizontal="right" vertical="center"/>
    </xf>
    <xf numFmtId="166" fontId="5" fillId="0" borderId="5" applyAlignment="1" pivotButton="0" quotePrefix="0" xfId="0">
      <alignment horizontal="right" vertical="center"/>
    </xf>
    <xf numFmtId="166" fontId="5" fillId="0" borderId="6" applyAlignment="1" pivotButton="0" quotePrefix="0" xfId="0">
      <alignment horizontal="right" vertical="center"/>
    </xf>
    <xf numFmtId="0" fontId="0" fillId="0" borderId="4" pivotButton="0" quotePrefix="0" xfId="0"/>
    <xf numFmtId="166" fontId="6" fillId="4" borderId="5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164" fontId="5" fillId="0" borderId="8" applyAlignment="1" pivotButton="0" quotePrefix="0" xfId="0">
      <alignment horizontal="right" vertical="center"/>
    </xf>
    <xf numFmtId="164" fontId="5" fillId="0" borderId="9" applyAlignment="1" pivotButton="0" quotePrefix="0" xfId="0">
      <alignment horizontal="right" vertical="center"/>
    </xf>
    <xf numFmtId="164" fontId="3" fillId="0" borderId="5" applyAlignment="1" pivotButton="0" quotePrefix="0" xfId="0">
      <alignment horizontal="right" vertical="center"/>
    </xf>
    <xf numFmtId="164" fontId="3" fillId="5" borderId="5" applyAlignment="1" pivotButton="0" quotePrefix="0" xfId="0">
      <alignment horizontal="right" vertical="center"/>
    </xf>
    <xf numFmtId="164" fontId="3" fillId="5" borderId="6" applyAlignment="1" pivotButton="0" quotePrefix="0" xfId="0">
      <alignment horizontal="right" vertical="center"/>
    </xf>
    <xf numFmtId="166" fontId="5" fillId="0" borderId="8" applyAlignment="1" pivotButton="0" quotePrefix="0" xfId="0">
      <alignment horizontal="right" vertical="center"/>
    </xf>
    <xf numFmtId="166" fontId="5" fillId="0" borderId="9" applyAlignment="1" pivotButton="0" quotePrefix="0" xfId="0">
      <alignment horizontal="right" vertical="center"/>
    </xf>
    <xf numFmtId="167" fontId="6" fillId="4" borderId="5" applyAlignment="1" pivotButton="0" quotePrefix="0" xfId="0">
      <alignment horizontal="right" vertical="center"/>
    </xf>
    <xf numFmtId="167" fontId="6" fillId="4" borderId="6" applyAlignment="1" pivotButton="0" quotePrefix="0" xfId="0">
      <alignment horizontal="right" vertical="center"/>
    </xf>
    <xf numFmtId="168" fontId="5" fillId="0" borderId="5" applyAlignment="1" pivotButton="0" quotePrefix="0" xfId="0">
      <alignment horizontal="right" vertical="center"/>
    </xf>
    <xf numFmtId="168" fontId="5" fillId="0" borderId="6" applyAlignment="1" pivotButton="0" quotePrefix="0" xfId="0">
      <alignment horizontal="right" vertical="center"/>
    </xf>
    <xf numFmtId="164" fontId="3" fillId="5" borderId="8" applyAlignment="1" pivotButton="0" quotePrefix="0" xfId="0">
      <alignment horizontal="right" vertical="center"/>
    </xf>
    <xf numFmtId="164" fontId="3" fillId="5" borderId="9" applyAlignment="1" pivotButton="0" quotePrefix="0" xfId="0">
      <alignment horizontal="right" vertical="center"/>
    </xf>
    <xf numFmtId="164" fontId="7" fillId="5" borderId="5" applyAlignment="1" pivotButton="0" quotePrefix="0" xfId="0">
      <alignment horizontal="right" vertical="center"/>
    </xf>
    <xf numFmtId="2" fontId="5" fillId="0" borderId="5" applyAlignment="1" pivotButton="0" quotePrefix="0" xfId="0">
      <alignment horizontal="right" vertical="center"/>
    </xf>
    <xf numFmtId="165" fontId="10" fillId="5" borderId="5" applyAlignment="1" pivotButton="0" quotePrefix="0" xfId="0">
      <alignment horizontal="right" vertical="center"/>
    </xf>
    <xf numFmtId="165" fontId="5" fillId="0" borderId="5" applyAlignment="1" pivotButton="0" quotePrefix="0" xfId="0">
      <alignment horizontal="right" vertical="center"/>
    </xf>
    <xf numFmtId="166" fontId="7" fillId="5" borderId="8" applyAlignment="1" pivotButton="0" quotePrefix="0" xfId="0">
      <alignment horizontal="right" vertical="center"/>
    </xf>
    <xf numFmtId="0" fontId="11" fillId="0" borderId="4" pivotButton="0" quotePrefix="0" xfId="0"/>
    <xf numFmtId="0" fontId="3" fillId="0" borderId="4" applyAlignment="1" pivotButton="0" quotePrefix="0" xfId="0">
      <alignment horizontal="right" vertical="center"/>
    </xf>
    <xf numFmtId="165" fontId="3" fillId="5" borderId="5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165" fontId="5" fillId="0" borderId="8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10" fontId="6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0" fontId="3" fillId="5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0" fontId="5" fillId="0" borderId="0" applyAlignment="1" pivotButton="0" quotePrefix="0" xfId="0">
      <alignment horizontal="right" vertical="center"/>
    </xf>
    <xf numFmtId="10" fontId="5" fillId="0" borderId="5" applyAlignment="1" pivotButton="0" quotePrefix="0" xfId="0">
      <alignment horizontal="right" vertical="center"/>
    </xf>
    <xf numFmtId="10" fontId="5" fillId="0" borderId="6" applyAlignment="1" pivotButton="0" quotePrefix="0" xfId="0">
      <alignment horizontal="right" vertical="center"/>
    </xf>
    <xf numFmtId="10" fontId="7" fillId="5" borderId="8" applyAlignment="1" pivotButton="0" quotePrefix="0" xfId="0">
      <alignment horizontal="center" vertical="center"/>
    </xf>
    <xf numFmtId="10" fontId="7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Model</author>
  </authors>
  <commentList>
    <comment ref="B5" authorId="0" shapeId="0">
      <text>
        <t>Source: User input. Enter 1 for Bear, 2 for Base, 3 for Bull.</t>
      </text>
    </comment>
    <comment ref="B10" authorId="0" shapeId="0">
      <text>
        <t>Source: NYSE close, 2026-08-14. StockAnalysis.com</t>
      </text>
    </comment>
    <comment ref="B11" authorId="0" shapeId="0">
      <text>
        <t>Source: Q2 2026 10-Q, 2026-08-12. Shares as of June 30, 2026: 19,249,671</t>
      </text>
    </comment>
    <comment ref="B13" authorId="0" shapeId="0">
      <text>
        <t>Source: Q2 2026 10-Q, 2026-08-12. Total debt $679.5M less total cash $81.5M.</t>
      </text>
    </comment>
    <comment ref="E19" authorId="0" shapeId="0">
      <text>
        <t>Source: Model assumptions 2026-08-17. Revenue CAGR anchored to portfolio size, Spruce Pro ramp, and M&amp;A activity.</t>
      </text>
    </comment>
    <comment ref="F19" authorId="0" shapeId="0">
      <text>
        <t>Source: Model assumptions 2026-08-17. Revenue CAGR anchored to portfolio size, Spruce Pro ramp, and M&amp;A activity.</t>
      </text>
    </comment>
    <comment ref="G19" authorId="0" shapeId="0">
      <text>
        <t>Source: Model assumptions 2026-08-17. Revenue CAGR anchored to portfolio size, Spruce Pro ramp, and M&amp;A activity.</t>
      </text>
    </comment>
    <comment ref="H19" authorId="0" shapeId="0">
      <text>
        <t>Source: Model assumptions 2026-08-17. Revenue CAGR anchored to portfolio size, Spruce Pro ramp, and M&amp;A activity.</t>
      </text>
    </comment>
    <comment ref="I19" authorId="0" shapeId="0">
      <text>
        <t>Source: Model assumptions 2026-08-17. Revenue CAGR anchored to portfolio size, Spruce Pro ramp, and M&amp;A activity.</t>
      </text>
    </comment>
    <comment ref="J19" authorId="0" shapeId="0">
      <text>
        <t>Source: Model assumptions 2026-08-17. Revenue CAGR anchored to portfolio size, Spruce Pro ramp, and M&amp;A activity.</t>
      </text>
    </comment>
    <comment ref="K19" authorId="0" shapeId="0">
      <text>
        <t>Source: Model assumptions 2026-08-17. Revenue CAGR anchored to portfolio size, Spruce Pro ramp, and M&amp;A activity.</t>
      </text>
    </comment>
    <comment ref="E20" authorId="0" shapeId="0">
      <text>
        <t>Source: Model assumptions 2026-08-17. Based on Q2 2026 EBIT margin 32% (single-quarter) and structural SG&amp;A reduction.</t>
      </text>
    </comment>
    <comment ref="F20" authorId="0" shapeId="0">
      <text>
        <t>Source: Model assumptions 2026-08-17. Based on Q2 2026 EBIT margin 32% (single-quarter) and structural SG&amp;A reduction.</t>
      </text>
    </comment>
    <comment ref="G20" authorId="0" shapeId="0">
      <text>
        <t>Source: Model assumptions 2026-08-17. Based on Q2 2026 EBIT margin 32% (single-quarter) and structural SG&amp;A reduction.</t>
      </text>
    </comment>
    <comment ref="H20" authorId="0" shapeId="0">
      <text>
        <t>Source: Model assumptions 2026-08-17. Based on Q2 2026 EBIT margin 32% (single-quarter) and structural SG&amp;A reduction.</t>
      </text>
    </comment>
    <comment ref="I20" authorId="0" shapeId="0">
      <text>
        <t>Source: Model assumptions 2026-08-17. Based on Q2 2026 EBIT margin 32% (single-quarter) and structural SG&amp;A reduction.</t>
      </text>
    </comment>
    <comment ref="J20" authorId="0" shapeId="0">
      <text>
        <t>Source: Model assumptions 2026-08-17. Based on Q2 2026 EBIT margin 32% (single-quarter) and structural SG&amp;A reduction.</t>
      </text>
    </comment>
    <comment ref="K20" authorId="0" shapeId="0">
      <text>
        <t>Source: Model assumptions 2026-08-17. Based on Q2 2026 EBIT margin 32% (single-quarter) and structural SG&amp;A reduction.</t>
      </text>
    </comment>
    <comment ref="E21" authorId="0" shapeId="0">
      <text>
        <t>Source: Model assumptions 2026-08-17. D&amp;A driven by solar asset depreciation (useful life 30yr).</t>
      </text>
    </comment>
    <comment ref="F21" authorId="0" shapeId="0">
      <text>
        <t>Source: Model assumptions 2026-08-17. D&amp;A driven by solar asset depreciation (useful life 30yr).</t>
      </text>
    </comment>
    <comment ref="G21" authorId="0" shapeId="0">
      <text>
        <t>Source: Model assumptions 2026-08-17. D&amp;A driven by solar asset depreciation (useful life 30yr).</t>
      </text>
    </comment>
    <comment ref="H21" authorId="0" shapeId="0">
      <text>
        <t>Source: Model assumptions 2026-08-17. D&amp;A driven by solar asset depreciation (useful life 30yr).</t>
      </text>
    </comment>
    <comment ref="I21" authorId="0" shapeId="0">
      <text>
        <t>Source: Model assumptions 2026-08-17. D&amp;A driven by solar asset depreciation (useful life 30yr).</t>
      </text>
    </comment>
    <comment ref="J21" authorId="0" shapeId="0">
      <text>
        <t>Source: Model assumptions 2026-08-17. D&amp;A driven by solar asset depreciation (useful life 30yr).</t>
      </text>
    </comment>
    <comment ref="K21" authorId="0" shapeId="0">
      <text>
        <t>Source: Model assumptions 2026-08-17. D&amp;A driven by solar asset depreciation (useful life 30yr).</t>
      </text>
    </comment>
    <comment ref="E22" authorId="0" shapeId="0">
      <text>
        <t>Source: Model assumptions 2026-08-17. CapEx minimal – no new-build, maintenance only.</t>
      </text>
    </comment>
    <comment ref="F22" authorId="0" shapeId="0">
      <text>
        <t>Source: Model assumptions 2026-08-17. CapEx minimal – no new-build, maintenance only.</t>
      </text>
    </comment>
    <comment ref="G22" authorId="0" shapeId="0">
      <text>
        <t>Source: Model assumptions 2026-08-17. CapEx minimal – no new-build, maintenance only.</t>
      </text>
    </comment>
    <comment ref="H22" authorId="0" shapeId="0">
      <text>
        <t>Source: Model assumptions 2026-08-17. CapEx minimal – no new-build, maintenance only.</t>
      </text>
    </comment>
    <comment ref="I22" authorId="0" shapeId="0">
      <text>
        <t>Source: Model assumptions 2026-08-17. CapEx minimal – no new-build, maintenance only.</t>
      </text>
    </comment>
    <comment ref="J22" authorId="0" shapeId="0">
      <text>
        <t>Source: Model assumptions 2026-08-17. CapEx minimal – no new-build, maintenance only.</t>
      </text>
    </comment>
    <comment ref="K22" authorId="0" shapeId="0">
      <text>
        <t>Source: Model assumptions 2026-08-17. CapEx minimal – no new-build, maintenance only.</t>
      </text>
    </comment>
    <comment ref="E23" authorId="0" shapeId="0">
      <text>
        <t>Source: Model assumptions 2026-08-17. NWC change on incremental revenue; contracted revenue = low WC drag.</t>
      </text>
    </comment>
    <comment ref="F23" authorId="0" shapeId="0">
      <text>
        <t>Source: Model assumptions 2026-08-17. NWC change on incremental revenue; contracted revenue = low WC drag.</t>
      </text>
    </comment>
    <comment ref="G23" authorId="0" shapeId="0">
      <text>
        <t>Source: Model assumptions 2026-08-17. NWC change on incremental revenue; contracted revenue = low WC drag.</t>
      </text>
    </comment>
    <comment ref="H23" authorId="0" shapeId="0">
      <text>
        <t>Source: Model assumptions 2026-08-17. NWC change on incremental revenue; contracted revenue = low WC drag.</t>
      </text>
    </comment>
    <comment ref="I23" authorId="0" shapeId="0">
      <text>
        <t>Source: Model assumptions 2026-08-17. NWC change on incremental revenue; contracted revenue = low WC drag.</t>
      </text>
    </comment>
    <comment ref="J23" authorId="0" shapeId="0">
      <text>
        <t>Source: Model assumptions 2026-08-17. NWC change on incremental revenue; contracted revenue = low WC drag.</t>
      </text>
    </comment>
    <comment ref="K23" authorId="0" shapeId="0">
      <text>
        <t>Source: Model assumptions 2026-08-17. NWC change on incremental revenue; contracted revenue = low WC drag.</t>
      </text>
    </comment>
    <comment ref="E24" authorId="0" shapeId="0">
      <text>
        <t>Source: Q2 2026 10-Q, 2026-08-12. Large NOL balance shields all taxable income in forecast period.</t>
      </text>
    </comment>
    <comment ref="F24" authorId="0" shapeId="0">
      <text>
        <t>Source: Q2 2026 10-Q, 2026-08-12. Large NOL balance shields all taxable income in forecast period.</t>
      </text>
    </comment>
    <comment ref="G24" authorId="0" shapeId="0">
      <text>
        <t>Source: Q2 2026 10-Q, 2026-08-12. Large NOL balance shields all taxable income in forecast period.</t>
      </text>
    </comment>
    <comment ref="H24" authorId="0" shapeId="0">
      <text>
        <t>Source: Q2 2026 10-Q, 2026-08-12. Large NOL balance shields all taxable income in forecast period.</t>
      </text>
    </comment>
    <comment ref="I24" authorId="0" shapeId="0">
      <text>
        <t>Source: Q2 2026 10-Q, 2026-08-12. Large NOL balance shields all taxable income in forecast period.</t>
      </text>
    </comment>
    <comment ref="J24" authorId="0" shapeId="0">
      <text>
        <t>Source: Q2 2026 10-Q, 2026-08-12. Large NOL balance shields all taxable income in forecast period.</t>
      </text>
    </comment>
    <comment ref="K24" authorId="0" shapeId="0">
      <text>
        <t>Source: Q2 2026 10-Q, 2026-08-12. Large NOL balance shields all taxable income in forecast period.</t>
      </text>
    </comment>
    <comment ref="E25" authorId="0" shapeId="0">
      <text>
        <t>Source: Model assumptions 2026-08-17. Terminal growth reflects long-term contracted + renewal cash flows.</t>
      </text>
    </comment>
    <comment ref="E26" authorId="0" shapeId="0">
      <text>
        <t>Source: CAPM calculation 2026-08-17. Rf=4.68%, Beta=1.20, ERP=5.50%, CSRP per scenario.</t>
      </text>
    </comment>
    <comment ref="E29" authorId="0" shapeId="0">
      <text>
        <t>Source: Model assumptions 2026-08-17. Revenue CAGR anchored to portfolio size, Spruce Pro ramp, and M&amp;A activity.</t>
      </text>
    </comment>
    <comment ref="F29" authorId="0" shapeId="0">
      <text>
        <t>Source: Model assumptions 2026-08-17. Revenue CAGR anchored to portfolio size, Spruce Pro ramp, and M&amp;A activity.</t>
      </text>
    </comment>
    <comment ref="G29" authorId="0" shapeId="0">
      <text>
        <t>Source: Model assumptions 2026-08-17. Revenue CAGR anchored to portfolio size, Spruce Pro ramp, and M&amp;A activity.</t>
      </text>
    </comment>
    <comment ref="H29" authorId="0" shapeId="0">
      <text>
        <t>Source: Model assumptions 2026-08-17. Revenue CAGR anchored to portfolio size, Spruce Pro ramp, and M&amp;A activity.</t>
      </text>
    </comment>
    <comment ref="I29" authorId="0" shapeId="0">
      <text>
        <t>Source: Model assumptions 2026-08-17. Revenue CAGR anchored to portfolio size, Spruce Pro ramp, and M&amp;A activity.</t>
      </text>
    </comment>
    <comment ref="J29" authorId="0" shapeId="0">
      <text>
        <t>Source: Model assumptions 2026-08-17. Revenue CAGR anchored to portfolio size, Spruce Pro ramp, and M&amp;A activity.</t>
      </text>
    </comment>
    <comment ref="K29" authorId="0" shapeId="0">
      <text>
        <t>Source: Model assumptions 2026-08-17. Revenue CAGR anchored to portfolio size, Spruce Pro ramp, and M&amp;A activity.</t>
      </text>
    </comment>
    <comment ref="E30" authorId="0" shapeId="0">
      <text>
        <t>Source: Model assumptions 2026-08-17. Based on Q2 2026 EBIT margin 32% (single-quarter) and structural SG&amp;A reduction.</t>
      </text>
    </comment>
    <comment ref="F30" authorId="0" shapeId="0">
      <text>
        <t>Source: Model assumptions 2026-08-17. Based on Q2 2026 EBIT margin 32% (single-quarter) and structural SG&amp;A reduction.</t>
      </text>
    </comment>
    <comment ref="G30" authorId="0" shapeId="0">
      <text>
        <t>Source: Model assumptions 2026-08-17. Based on Q2 2026 EBIT margin 32% (single-quarter) and structural SG&amp;A reduction.</t>
      </text>
    </comment>
    <comment ref="H30" authorId="0" shapeId="0">
      <text>
        <t>Source: Model assumptions 2026-08-17. Based on Q2 2026 EBIT margin 32% (single-quarter) and structural SG&amp;A reduction.</t>
      </text>
    </comment>
    <comment ref="I30" authorId="0" shapeId="0">
      <text>
        <t>Source: Model assumptions 2026-08-17. Based on Q2 2026 EBIT margin 32% (single-quarter) and structural SG&amp;A reduction.</t>
      </text>
    </comment>
    <comment ref="J30" authorId="0" shapeId="0">
      <text>
        <t>Source: Model assumptions 2026-08-17. Based on Q2 2026 EBIT margin 32% (single-quarter) and structural SG&amp;A reduction.</t>
      </text>
    </comment>
    <comment ref="K30" authorId="0" shapeId="0">
      <text>
        <t>Source: Model assumptions 2026-08-17. Based on Q2 2026 EBIT margin 32% (single-quarter) and structural SG&amp;A reduction.</t>
      </text>
    </comment>
    <comment ref="E31" authorId="0" shapeId="0">
      <text>
        <t>Source: Model assumptions 2026-08-17. D&amp;A driven by solar asset depreciation (useful life 30yr).</t>
      </text>
    </comment>
    <comment ref="F31" authorId="0" shapeId="0">
      <text>
        <t>Source: Model assumptions 2026-08-17. D&amp;A driven by solar asset depreciation (useful life 30yr).</t>
      </text>
    </comment>
    <comment ref="G31" authorId="0" shapeId="0">
      <text>
        <t>Source: Model assumptions 2026-08-17. D&amp;A driven by solar asset depreciation (useful life 30yr).</t>
      </text>
    </comment>
    <comment ref="H31" authorId="0" shapeId="0">
      <text>
        <t>Source: Model assumptions 2026-08-17. D&amp;A driven by solar asset depreciation (useful life 30yr).</t>
      </text>
    </comment>
    <comment ref="I31" authorId="0" shapeId="0">
      <text>
        <t>Source: Model assumptions 2026-08-17. D&amp;A driven by solar asset depreciation (useful life 30yr).</t>
      </text>
    </comment>
    <comment ref="J31" authorId="0" shapeId="0">
      <text>
        <t>Source: Model assumptions 2026-08-17. D&amp;A driven by solar asset depreciation (useful life 30yr).</t>
      </text>
    </comment>
    <comment ref="K31" authorId="0" shapeId="0">
      <text>
        <t>Source: Model assumptions 2026-08-17. D&amp;A driven by solar asset depreciation (useful life 30yr).</t>
      </text>
    </comment>
    <comment ref="E32" authorId="0" shapeId="0">
      <text>
        <t>Source: Model assumptions 2026-08-17. CapEx minimal – no new-build, maintenance only.</t>
      </text>
    </comment>
    <comment ref="F32" authorId="0" shapeId="0">
      <text>
        <t>Source: Model assumptions 2026-08-17. CapEx minimal – no new-build, maintenance only.</t>
      </text>
    </comment>
    <comment ref="G32" authorId="0" shapeId="0">
      <text>
        <t>Source: Model assumptions 2026-08-17. CapEx minimal – no new-build, maintenance only.</t>
      </text>
    </comment>
    <comment ref="H32" authorId="0" shapeId="0">
      <text>
        <t>Source: Model assumptions 2026-08-17. CapEx minimal – no new-build, maintenance only.</t>
      </text>
    </comment>
    <comment ref="I32" authorId="0" shapeId="0">
      <text>
        <t>Source: Model assumptions 2026-08-17. CapEx minimal – no new-build, maintenance only.</t>
      </text>
    </comment>
    <comment ref="J32" authorId="0" shapeId="0">
      <text>
        <t>Source: Model assumptions 2026-08-17. CapEx minimal – no new-build, maintenance only.</t>
      </text>
    </comment>
    <comment ref="K32" authorId="0" shapeId="0">
      <text>
        <t>Source: Model assumptions 2026-08-17. CapEx minimal – no new-build, maintenance only.</t>
      </text>
    </comment>
    <comment ref="E33" authorId="0" shapeId="0">
      <text>
        <t>Source: Model assumptions 2026-08-17. NWC change on incremental revenue; contracted revenue = low WC drag.</t>
      </text>
    </comment>
    <comment ref="F33" authorId="0" shapeId="0">
      <text>
        <t>Source: Model assumptions 2026-08-17. NWC change on incremental revenue; contracted revenue = low WC drag.</t>
      </text>
    </comment>
    <comment ref="G33" authorId="0" shapeId="0">
      <text>
        <t>Source: Model assumptions 2026-08-17. NWC change on incremental revenue; contracted revenue = low WC drag.</t>
      </text>
    </comment>
    <comment ref="H33" authorId="0" shapeId="0">
      <text>
        <t>Source: Model assumptions 2026-08-17. NWC change on incremental revenue; contracted revenue = low WC drag.</t>
      </text>
    </comment>
    <comment ref="I33" authorId="0" shapeId="0">
      <text>
        <t>Source: Model assumptions 2026-08-17. NWC change on incremental revenue; contracted revenue = low WC drag.</t>
      </text>
    </comment>
    <comment ref="J33" authorId="0" shapeId="0">
      <text>
        <t>Source: Model assumptions 2026-08-17. NWC change on incremental revenue; contracted revenue = low WC drag.</t>
      </text>
    </comment>
    <comment ref="K33" authorId="0" shapeId="0">
      <text>
        <t>Source: Model assumptions 2026-08-17. NWC change on incremental revenue; contracted revenue = low WC drag.</t>
      </text>
    </comment>
    <comment ref="E34" authorId="0" shapeId="0">
      <text>
        <t>Source: Q2 2026 10-Q, 2026-08-12. Large NOL balance shields all taxable income in forecast period.</t>
      </text>
    </comment>
    <comment ref="F34" authorId="0" shapeId="0">
      <text>
        <t>Source: Q2 2026 10-Q, 2026-08-12. Large NOL balance shields all taxable income in forecast period.</t>
      </text>
    </comment>
    <comment ref="G34" authorId="0" shapeId="0">
      <text>
        <t>Source: Q2 2026 10-Q, 2026-08-12. Large NOL balance shields all taxable income in forecast period.</t>
      </text>
    </comment>
    <comment ref="H34" authorId="0" shapeId="0">
      <text>
        <t>Source: Q2 2026 10-Q, 2026-08-12. Large NOL balance shields all taxable income in forecast period.</t>
      </text>
    </comment>
    <comment ref="I34" authorId="0" shapeId="0">
      <text>
        <t>Source: Q2 2026 10-Q, 2026-08-12. Large NOL balance shields all taxable income in forecast period.</t>
      </text>
    </comment>
    <comment ref="J34" authorId="0" shapeId="0">
      <text>
        <t>Source: Q2 2026 10-Q, 2026-08-12. Large NOL balance shields all taxable income in forecast period.</t>
      </text>
    </comment>
    <comment ref="K34" authorId="0" shapeId="0">
      <text>
        <t>Source: Q2 2026 10-Q, 2026-08-12. Large NOL balance shields all taxable income in forecast period.</t>
      </text>
    </comment>
    <comment ref="E35" authorId="0" shapeId="0">
      <text>
        <t>Source: Model assumptions 2026-08-17. Terminal growth reflects long-term contracted + renewal cash flows.</t>
      </text>
    </comment>
    <comment ref="E36" authorId="0" shapeId="0">
      <text>
        <t>Source: CAPM calculation 2026-08-17. Rf=4.68%, Beta=1.20, ERP=5.50%, CSRP per scenario.</t>
      </text>
    </comment>
    <comment ref="E39" authorId="0" shapeId="0">
      <text>
        <t>Source: Model assumptions 2026-08-17. Revenue CAGR anchored to portfolio size, Spruce Pro ramp, and M&amp;A activity.</t>
      </text>
    </comment>
    <comment ref="F39" authorId="0" shapeId="0">
      <text>
        <t>Source: Model assumptions 2026-08-17. Revenue CAGR anchored to portfolio size, Spruce Pro ramp, and M&amp;A activity.</t>
      </text>
    </comment>
    <comment ref="G39" authorId="0" shapeId="0">
      <text>
        <t>Source: Model assumptions 2026-08-17. Revenue CAGR anchored to portfolio size, Spruce Pro ramp, and M&amp;A activity.</t>
      </text>
    </comment>
    <comment ref="H39" authorId="0" shapeId="0">
      <text>
        <t>Source: Model assumptions 2026-08-17. Revenue CAGR anchored to portfolio size, Spruce Pro ramp, and M&amp;A activity.</t>
      </text>
    </comment>
    <comment ref="I39" authorId="0" shapeId="0">
      <text>
        <t>Source: Model assumptions 2026-08-17. Revenue CAGR anchored to portfolio size, Spruce Pro ramp, and M&amp;A activity.</t>
      </text>
    </comment>
    <comment ref="J39" authorId="0" shapeId="0">
      <text>
        <t>Source: Model assumptions 2026-08-17. Revenue CAGR anchored to portfolio size, Spruce Pro ramp, and M&amp;A activity.</t>
      </text>
    </comment>
    <comment ref="K39" authorId="0" shapeId="0">
      <text>
        <t>Source: Model assumptions 2026-08-17. Revenue CAGR anchored to portfolio size, Spruce Pro ramp, and M&amp;A activity.</t>
      </text>
    </comment>
    <comment ref="E40" authorId="0" shapeId="0">
      <text>
        <t>Source: Model assumptions 2026-08-17. Based on Q2 2026 EBIT margin 32% (single-quarter) and structural SG&amp;A reduction.</t>
      </text>
    </comment>
    <comment ref="F40" authorId="0" shapeId="0">
      <text>
        <t>Source: Model assumptions 2026-08-17. Based on Q2 2026 EBIT margin 32% (single-quarter) and structural SG&amp;A reduction.</t>
      </text>
    </comment>
    <comment ref="G40" authorId="0" shapeId="0">
      <text>
        <t>Source: Model assumptions 2026-08-17. Based on Q2 2026 EBIT margin 32% (single-quarter) and structural SG&amp;A reduction.</t>
      </text>
    </comment>
    <comment ref="H40" authorId="0" shapeId="0">
      <text>
        <t>Source: Model assumptions 2026-08-17. Based on Q2 2026 EBIT margin 32% (single-quarter) and structural SG&amp;A reduction.</t>
      </text>
    </comment>
    <comment ref="I40" authorId="0" shapeId="0">
      <text>
        <t>Source: Model assumptions 2026-08-17. Based on Q2 2026 EBIT margin 32% (single-quarter) and structural SG&amp;A reduction.</t>
      </text>
    </comment>
    <comment ref="J40" authorId="0" shapeId="0">
      <text>
        <t>Source: Model assumptions 2026-08-17. Based on Q2 2026 EBIT margin 32% (single-quarter) and structural SG&amp;A reduction.</t>
      </text>
    </comment>
    <comment ref="K40" authorId="0" shapeId="0">
      <text>
        <t>Source: Model assumptions 2026-08-17. Based on Q2 2026 EBIT margin 32% (single-quarter) and structural SG&amp;A reduction.</t>
      </text>
    </comment>
    <comment ref="E41" authorId="0" shapeId="0">
      <text>
        <t>Source: Model assumptions 2026-08-17. D&amp;A driven by solar asset depreciation (useful life 30yr).</t>
      </text>
    </comment>
    <comment ref="F41" authorId="0" shapeId="0">
      <text>
        <t>Source: Model assumptions 2026-08-17. D&amp;A driven by solar asset depreciation (useful life 30yr).</t>
      </text>
    </comment>
    <comment ref="G41" authorId="0" shapeId="0">
      <text>
        <t>Source: Model assumptions 2026-08-17. D&amp;A driven by solar asset depreciation (useful life 30yr).</t>
      </text>
    </comment>
    <comment ref="H41" authorId="0" shapeId="0">
      <text>
        <t>Source: Model assumptions 2026-08-17. D&amp;A driven by solar asset depreciation (useful life 30yr).</t>
      </text>
    </comment>
    <comment ref="I41" authorId="0" shapeId="0">
      <text>
        <t>Source: Model assumptions 2026-08-17. D&amp;A driven by solar asset depreciation (useful life 30yr).</t>
      </text>
    </comment>
    <comment ref="J41" authorId="0" shapeId="0">
      <text>
        <t>Source: Model assumptions 2026-08-17. D&amp;A driven by solar asset depreciation (useful life 30yr).</t>
      </text>
    </comment>
    <comment ref="K41" authorId="0" shapeId="0">
      <text>
        <t>Source: Model assumptions 2026-08-17. D&amp;A driven by solar asset depreciation (useful life 30yr).</t>
      </text>
    </comment>
    <comment ref="E42" authorId="0" shapeId="0">
      <text>
        <t>Source: Model assumptions 2026-08-17. CapEx minimal – no new-build, maintenance only.</t>
      </text>
    </comment>
    <comment ref="F42" authorId="0" shapeId="0">
      <text>
        <t>Source: Model assumptions 2026-08-17. CapEx minimal – no new-build, maintenance only.</t>
      </text>
    </comment>
    <comment ref="G42" authorId="0" shapeId="0">
      <text>
        <t>Source: Model assumptions 2026-08-17. CapEx minimal – no new-build, maintenance only.</t>
      </text>
    </comment>
    <comment ref="H42" authorId="0" shapeId="0">
      <text>
        <t>Source: Model assumptions 2026-08-17. CapEx minimal – no new-build, maintenance only.</t>
      </text>
    </comment>
    <comment ref="I42" authorId="0" shapeId="0">
      <text>
        <t>Source: Model assumptions 2026-08-17. CapEx minimal – no new-build, maintenance only.</t>
      </text>
    </comment>
    <comment ref="J42" authorId="0" shapeId="0">
      <text>
        <t>Source: Model assumptions 2026-08-17. CapEx minimal – no new-build, maintenance only.</t>
      </text>
    </comment>
    <comment ref="K42" authorId="0" shapeId="0">
      <text>
        <t>Source: Model assumptions 2026-08-17. CapEx minimal – no new-build, maintenance only.</t>
      </text>
    </comment>
    <comment ref="E43" authorId="0" shapeId="0">
      <text>
        <t>Source: Model assumptions 2026-08-17. NWC change on incremental revenue; contracted revenue = low WC drag.</t>
      </text>
    </comment>
    <comment ref="F43" authorId="0" shapeId="0">
      <text>
        <t>Source: Model assumptions 2026-08-17. NWC change on incremental revenue; contracted revenue = low WC drag.</t>
      </text>
    </comment>
    <comment ref="G43" authorId="0" shapeId="0">
      <text>
        <t>Source: Model assumptions 2026-08-17. NWC change on incremental revenue; contracted revenue = low WC drag.</t>
      </text>
    </comment>
    <comment ref="H43" authorId="0" shapeId="0">
      <text>
        <t>Source: Model assumptions 2026-08-17. NWC change on incremental revenue; contracted revenue = low WC drag.</t>
      </text>
    </comment>
    <comment ref="I43" authorId="0" shapeId="0">
      <text>
        <t>Source: Model assumptions 2026-08-17. NWC change on incremental revenue; contracted revenue = low WC drag.</t>
      </text>
    </comment>
    <comment ref="J43" authorId="0" shapeId="0">
      <text>
        <t>Source: Model assumptions 2026-08-17. NWC change on incremental revenue; contracted revenue = low WC drag.</t>
      </text>
    </comment>
    <comment ref="K43" authorId="0" shapeId="0">
      <text>
        <t>Source: Model assumptions 2026-08-17. NWC change on incremental revenue; contracted revenue = low WC drag.</t>
      </text>
    </comment>
    <comment ref="E44" authorId="0" shapeId="0">
      <text>
        <t>Source: Q2 2026 10-Q, 2026-08-12. Large NOL balance shields all taxable income in forecast period.</t>
      </text>
    </comment>
    <comment ref="F44" authorId="0" shapeId="0">
      <text>
        <t>Source: Q2 2026 10-Q, 2026-08-12. Large NOL balance shields all taxable income in forecast period.</t>
      </text>
    </comment>
    <comment ref="G44" authorId="0" shapeId="0">
      <text>
        <t>Source: Q2 2026 10-Q, 2026-08-12. Large NOL balance shields all taxable income in forecast period.</t>
      </text>
    </comment>
    <comment ref="H44" authorId="0" shapeId="0">
      <text>
        <t>Source: Q2 2026 10-Q, 2026-08-12. Large NOL balance shields all taxable income in forecast period.</t>
      </text>
    </comment>
    <comment ref="I44" authorId="0" shapeId="0">
      <text>
        <t>Source: Q2 2026 10-Q, 2026-08-12. Large NOL balance shields all taxable income in forecast period.</t>
      </text>
    </comment>
    <comment ref="J44" authorId="0" shapeId="0">
      <text>
        <t>Source: Q2 2026 10-Q, 2026-08-12. Large NOL balance shields all taxable income in forecast period.</t>
      </text>
    </comment>
    <comment ref="K44" authorId="0" shapeId="0">
      <text>
        <t>Source: Q2 2026 10-Q, 2026-08-12. Large NOL balance shields all taxable income in forecast period.</t>
      </text>
    </comment>
    <comment ref="E45" authorId="0" shapeId="0">
      <text>
        <t>Source: Model assumptions 2026-08-17. Terminal growth reflects long-term contracted + renewal cash flows.</t>
      </text>
    </comment>
    <comment ref="E46" authorId="0" shapeId="0">
      <text>
        <t>Source: CAPM calculation 2026-08-17. Rf=4.68%, Beta=1.20, ERP=5.50%, CSRP per scenario.</t>
      </text>
    </comment>
    <comment ref="B60" authorId="0" shapeId="0">
      <text>
        <t>Source: SPRU 2023 10-K / earnings release.</t>
      </text>
    </comment>
    <comment ref="C60" authorId="0" shapeId="0">
      <text>
        <t>Source: SPRU 2024 10-K / earnings release.</t>
      </text>
    </comment>
    <comment ref="D60" authorId="0" shapeId="0">
      <text>
        <t>Source: SPRU 2025 10-K / earnings release.</t>
      </text>
    </comment>
    <comment ref="B63" authorId="0" shapeId="0">
      <text>
        <t>Source: SPRU 2023 10-K / earnings release.</t>
      </text>
    </comment>
    <comment ref="C63" authorId="0" shapeId="0">
      <text>
        <t>Source: SPRU 2024 10-K / earnings release.</t>
      </text>
    </comment>
    <comment ref="D63" authorId="0" shapeId="0">
      <text>
        <t>Source: SPRU 2025 10-K / earnings release.</t>
      </text>
    </comment>
    <comment ref="B64" authorId="0" shapeId="0">
      <text>
        <t>Source: Derived from 2023 actuals.</t>
      </text>
    </comment>
    <comment ref="C64" authorId="0" shapeId="0">
      <text>
        <t>Source: Derived from 2024 actuals.</t>
      </text>
    </comment>
    <comment ref="D64" authorId="0" shapeId="0">
      <text>
        <t>Source: Derived from 2025 actuals.</t>
      </text>
    </comment>
    <comment ref="B69" authorId="0" shapeId="0">
      <text>
        <t>Source: Derived (NOPAT = EBIT × (1−T), T=0).</t>
      </text>
    </comment>
    <comment ref="C69" authorId="0" shapeId="0">
      <text>
        <t>Source: Derived (NOPAT = EBIT × (1−T), T=0).</t>
      </text>
    </comment>
    <comment ref="D69" authorId="0" shapeId="0">
      <text>
        <t>Source: Derived (NOPAT = EBIT × (1−T), T=0).</t>
      </text>
    </comment>
    <comment ref="B74" authorId="0" shapeId="0">
      <text>
        <t>Source: SPRU 2023 10-K. D&amp;A including solar system depreciation.</t>
      </text>
    </comment>
    <comment ref="C74" authorId="0" shapeId="0">
      <text>
        <t>Source: SPRU 2024 10-K. D&amp;A including solar system depreciation.</t>
      </text>
    </comment>
    <comment ref="D74" authorId="0" shapeId="0">
      <text>
        <t>Source: SPRU 2025 10-K. D&amp;A including solar system depreciation.</t>
      </text>
    </comment>
    <comment ref="B76" authorId="0" shapeId="0">
      <text>
        <t>Source: SPRU 2023 cash flow statement. Purchases of property/equipment.</t>
      </text>
    </comment>
    <comment ref="C76" authorId="0" shapeId="0">
      <text>
        <t>Source: SPRU 2024 cash flow statement. Purchases of property/equipment.</t>
      </text>
    </comment>
    <comment ref="D76" authorId="0" shapeId="0">
      <text>
        <t>Source: SPRU 2025 cash flow statement. Purchases of property/equipment.</t>
      </text>
    </comment>
    <comment ref="B78" authorId="0" shapeId="0">
      <text>
        <t>Source: Approximated. Contracted revenue model has minimal NWC drag.</t>
      </text>
    </comment>
    <comment ref="C78" authorId="0" shapeId="0">
      <text>
        <t>Source: Approximated. Contracted revenue model has minimal NWC drag.</t>
      </text>
    </comment>
    <comment ref="D78" authorId="0" shapeId="0">
      <text>
        <t>Source: Approximated. Contracted revenue model has minimal NWC drag.</t>
      </text>
    </comment>
    <comment ref="E86" authorId="0" shapeId="0">
      <text>
        <t>Source: Model convention. Mid-year discounting: Year 1=0.5, Year 2=1.5, etc.</t>
      </text>
    </comment>
    <comment ref="F86" authorId="0" shapeId="0">
      <text>
        <t>Source: Model convention. Mid-year discounting: Year 1=0.5, Year 2=1.5, etc.</t>
      </text>
    </comment>
    <comment ref="G86" authorId="0" shapeId="0">
      <text>
        <t>Source: Model convention. Mid-year discounting: Year 1=0.5, Year 2=1.5, etc.</t>
      </text>
    </comment>
    <comment ref="H86" authorId="0" shapeId="0">
      <text>
        <t>Source: Model convention. Mid-year discounting: Year 1=0.5, Year 2=1.5, etc.</t>
      </text>
    </comment>
    <comment ref="I86" authorId="0" shapeId="0">
      <text>
        <t>Source: Model convention. Mid-year discounting: Year 1=0.5, Year 2=1.5, etc.</t>
      </text>
    </comment>
    <comment ref="J86" authorId="0" shapeId="0">
      <text>
        <t>Source: Model convention. Mid-year discounting: Year 1=0.5, Year 2=1.5, etc.</t>
      </text>
    </comment>
    <comment ref="K86" authorId="0" shapeId="0">
      <text>
        <t>Source: Model convention. Mid-year discounting: Year 1=0.5, Year 2=1.5, etc.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C6" authorId="0" shapeId="0">
      <text>
        <t>Source: Model assumptions, 2026-08-17. FRED DGS10, 2026-08-14: 4.68%</t>
      </text>
    </comment>
    <comment ref="D6" authorId="0" shapeId="0">
      <text>
        <t>Source: Model assumptions, 2026-08-17. FRED DGS10, 2026-08-14: 4.68%</t>
      </text>
    </comment>
    <comment ref="E6" authorId="0" shapeId="0">
      <text>
        <t>Source: Model assumptions, 2026-08-17. FRED DGS10, 2026-08-14: 4.68%</t>
      </text>
    </comment>
    <comment ref="C7" authorId="0" shapeId="0">
      <text>
        <t>Source: Model assumptions, 2026-08-17. StockAnalysis.com, 2026-08-14, 5Y monthly vs S&amp;P 500</t>
      </text>
    </comment>
    <comment ref="D7" authorId="0" shapeId="0">
      <text>
        <t>Source: Model assumptions, 2026-08-17. StockAnalysis.com, 2026-08-14, 5Y monthly vs S&amp;P 500</t>
      </text>
    </comment>
    <comment ref="E7" authorId="0" shapeId="0">
      <text>
        <t>Source: Model assumptions, 2026-08-17. StockAnalysis.com, 2026-08-14, 5Y monthly vs S&amp;P 500</t>
      </text>
    </comment>
    <comment ref="C8" authorId="0" shapeId="0">
      <text>
        <t>Source: Model assumptions, 2026-08-17. Damodaran ERP estimate 2026</t>
      </text>
    </comment>
    <comment ref="D8" authorId="0" shapeId="0">
      <text>
        <t>Source: Model assumptions, 2026-08-17. Damodaran ERP estimate 2026</t>
      </text>
    </comment>
    <comment ref="E8" authorId="0" shapeId="0">
      <text>
        <t>Source: Model assumptions, 2026-08-17. Damodaran ERP estimate 2026</t>
      </text>
    </comment>
    <comment ref="C9" authorId="0" shapeId="0">
      <text>
        <t>Source: Model assumptions, 2026-08-17. Governance dispute + illiquidity + small-cap; Bear=2.0%, Base=1.5%, Bull=1.0%</t>
      </text>
    </comment>
    <comment ref="D9" authorId="0" shapeId="0">
      <text>
        <t>Source: Model assumptions, 2026-08-17. Governance dispute + illiquidity + small-cap; Bear=2.0%, Base=1.5%, Bull=1.0%</t>
      </text>
    </comment>
    <comment ref="E9" authorId="0" shapeId="0">
      <text>
        <t>Source: Model assumptions, 2026-08-17. Governance dispute + illiquidity + small-cap; Bear=2.0%, Base=1.5%, Bull=1.0%</t>
      </text>
    </comment>
    <comment ref="C13" authorId="0" shapeId="0">
      <text>
        <t>Source: Model assumptions, 2026-08-17. Q2 2026 blended rate 6.2%; Bear premium +0.3%, Bull discount -0.4%</t>
      </text>
    </comment>
    <comment ref="D13" authorId="0" shapeId="0">
      <text>
        <t>Source: Model assumptions, 2026-08-17. Q2 2026 blended rate 6.2%; Bear premium +0.3%, Bull discount -0.4%</t>
      </text>
    </comment>
    <comment ref="E13" authorId="0" shapeId="0">
      <text>
        <t>Source: Model assumptions, 2026-08-17. Q2 2026 blended rate 6.2%; Bear premium +0.3%, Bull discount -0.4%</t>
      </text>
    </comment>
    <comment ref="C14" authorId="0" shapeId="0">
      <text>
        <t>Source: Model assumptions, 2026-08-17. NOL carryforward shields all taxable income in forecast period</t>
      </text>
    </comment>
    <comment ref="D14" authorId="0" shapeId="0">
      <text>
        <t>Source: Model assumptions, 2026-08-17. NOL carryforward shields all taxable income in forecast period</t>
      </text>
    </comment>
    <comment ref="E14" authorId="0" shapeId="0">
      <text>
        <t>Source: Model assumptions, 2026-08-17. NOL carryforward shields all taxable income in forecast period</t>
      </text>
    </comment>
    <comment ref="C18" authorId="0" shapeId="0">
      <text>
        <t>Source: Model assumptions, 2026-08-17. Q2 2026 10-Q balance sheet: non-recourse project debt $679.5M</t>
      </text>
    </comment>
    <comment ref="D18" authorId="0" shapeId="0">
      <text>
        <t>Source: Model assumptions, 2026-08-17. Q2 2026 10-Q balance sheet: non-recourse project debt $679.5M</t>
      </text>
    </comment>
    <comment ref="E18" authorId="0" shapeId="0">
      <text>
        <t>Source: Model assumptions, 2026-08-17. Q2 2026 10-Q balance sheet: non-recourse project debt $679.5M</t>
      </text>
    </comment>
    <comment ref="C19" authorId="0" shapeId="0">
      <text>
        <t>Source: Model assumptions, 2026-08-17. Q2 2026 press release: total cash $81.5M ($4.24/share)</t>
      </text>
    </comment>
    <comment ref="D19" authorId="0" shapeId="0">
      <text>
        <t>Source: Model assumptions, 2026-08-17. Q2 2026 press release: total cash $81.5M ($4.24/share)</t>
      </text>
    </comment>
    <comment ref="E19" authorId="0" shapeId="0">
      <text>
        <t>Source: Model assumptions, 2026-08-17. Q2 2026 press release: total cash $81.5M ($4.24/share)</t>
      </text>
    </comment>
    <comment ref="C21" authorId="0" shapeId="0">
      <text>
        <t>Source: Model assumptions, 2026-08-17. Normalised: Bear=10%, Base=15%, Bull=20% (accounts for depressed market cap vs book)</t>
      </text>
    </comment>
    <comment ref="D21" authorId="0" shapeId="0">
      <text>
        <t>Source: Model assumptions, 2026-08-17. Normalised: Bear=10%, Base=15%, Bull=20% (accounts for depressed market cap vs book)</t>
      </text>
    </comment>
    <comment ref="E21" authorId="0" shapeId="0">
      <text>
        <t>Source: Model assumptions, 2026-08-17. Normalised: Bear=10%, Base=15%, Bull=20% (accounts for depressed market cap vs book)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pane xSplit="1" ySplit="59" topLeftCell="B6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" customWidth="1" min="13" max="13"/>
    <col width="12" customWidth="1" min="14" max="14"/>
    <col width="12" customWidth="1" min="15" max="15"/>
    <col width="12" customWidth="1" min="16" max="16"/>
  </cols>
  <sheetData>
    <row r="1" ht="24" customHeight="1">
      <c r="A1" s="1" t="inlineStr">
        <is>
          <t>Spruce Power Holding Corporation (NYSE: SPRU) – DCF Valuation Model</t>
        </is>
      </c>
    </row>
    <row r="2">
      <c r="A2" s="2" t="inlineStr">
        <is>
          <t>7-Year Projection  |  2026E – 2032E  |  Bear / Base / Bull  |  As of 2026-08-17  |  $ in millions</t>
        </is>
      </c>
    </row>
    <row r="4">
      <c r="A4" s="3" t="inlineStr">
        <is>
          <t>► Case Selector (1=Bear  2=Base  3=Bull)</t>
        </is>
      </c>
    </row>
    <row r="5">
      <c r="B5" s="4" t="n">
        <v>2</v>
      </c>
    </row>
    <row r="6">
      <c r="A6" s="3" t="inlineStr">
        <is>
          <t>Selected Scenario:</t>
        </is>
      </c>
      <c r="B6" s="5">
        <f>IF(B5=1,"Bear Case",IF(B5=2,"Base Case","Bull Case"))</f>
        <v/>
      </c>
    </row>
    <row r="8">
      <c r="A8" s="6" t="inlineStr">
        <is>
          <t>MARKET DATA &amp; KEY INPUTS</t>
        </is>
      </c>
      <c r="B8" s="7" t="n"/>
      <c r="C8" s="7" t="n"/>
      <c r="D8" s="7" t="n"/>
      <c r="E8" s="8" t="n"/>
    </row>
    <row r="9">
      <c r="A9" s="9" t="inlineStr">
        <is>
          <t>Item</t>
        </is>
      </c>
      <c r="B9" s="10" t="inlineStr">
        <is>
          <t>Value</t>
        </is>
      </c>
      <c r="C9" s="10" t="inlineStr">
        <is>
          <t>Unit</t>
        </is>
      </c>
      <c r="D9" s="10" t="inlineStr">
        <is>
          <t>Notes</t>
        </is>
      </c>
      <c r="E9" s="11" t="n"/>
    </row>
    <row r="10">
      <c r="A10" s="12" t="inlineStr">
        <is>
          <t>Current Stock Price</t>
        </is>
      </c>
      <c r="B10" s="13" t="n">
        <v>1.84</v>
      </c>
      <c r="C10" s="14" t="inlineStr">
        <is>
          <t>$/share</t>
        </is>
      </c>
      <c r="D10" s="15" t="inlineStr">
        <is>
          <t>NYSE close 2026-08-14</t>
        </is>
      </c>
      <c r="E10" s="11" t="n"/>
    </row>
    <row r="11">
      <c r="A11" s="12" t="inlineStr">
        <is>
          <t>Shares Outstanding (Basic)</t>
        </is>
      </c>
      <c r="B11" s="16" t="n">
        <v>19.25</v>
      </c>
      <c r="C11" s="14" t="inlineStr">
        <is>
          <t>M shares</t>
        </is>
      </c>
      <c r="D11" s="15" t="inlineStr">
        <is>
          <t>Q2 2026 10-Q (Jun 30, 2026)</t>
        </is>
      </c>
      <c r="E11" s="11" t="n"/>
    </row>
    <row r="12">
      <c r="A12" s="12" t="inlineStr">
        <is>
          <t>Market Cap ($M)</t>
        </is>
      </c>
      <c r="B12" s="17">
        <f>B10*B11</f>
        <v/>
      </c>
      <c r="C12" s="18" t="inlineStr">
        <is>
          <t>$M</t>
        </is>
      </c>
      <c r="D12" s="18" t="n"/>
      <c r="E12" s="11" t="n"/>
    </row>
    <row r="13">
      <c r="A13" s="19" t="inlineStr">
        <is>
          <t>Net Debt ($M)</t>
        </is>
      </c>
      <c r="B13" s="20" t="n">
        <v>598</v>
      </c>
      <c r="C13" s="21" t="inlineStr">
        <is>
          <t>$M</t>
        </is>
      </c>
      <c r="D13" s="22" t="inlineStr">
        <is>
          <t>Debt $679.5M − Cash $81.5M  (Q2 2026)</t>
        </is>
      </c>
      <c r="E13" s="23" t="n"/>
    </row>
    <row r="15">
      <c r="A15" s="24" t="inlineStr">
        <is>
          <t>SCENARIO ASSUMPTIONS  (Bear | Base | Bull — Projection Years)</t>
        </is>
      </c>
    </row>
    <row r="17">
      <c r="A17" s="24" t="inlineStr">
        <is>
          <t>BEAR CASE ASSUMPTIONS</t>
        </is>
      </c>
    </row>
    <row r="18">
      <c r="A18" s="25" t="inlineStr">
        <is>
          <t>Assumption</t>
        </is>
      </c>
      <c r="E18" s="26" t="inlineStr">
        <is>
          <t>2026E</t>
        </is>
      </c>
      <c r="F18" s="26" t="inlineStr">
        <is>
          <t>2027E</t>
        </is>
      </c>
      <c r="G18" s="26" t="inlineStr">
        <is>
          <t>2028E</t>
        </is>
      </c>
      <c r="H18" s="26" t="inlineStr">
        <is>
          <t>2029E</t>
        </is>
      </c>
      <c r="I18" s="26" t="inlineStr">
        <is>
          <t>2030E</t>
        </is>
      </c>
      <c r="J18" s="26" t="inlineStr">
        <is>
          <t>2031E</t>
        </is>
      </c>
      <c r="K18" s="26" t="inlineStr">
        <is>
          <t>2032E</t>
        </is>
      </c>
    </row>
    <row r="19">
      <c r="A19" s="25" t="inlineStr">
        <is>
          <t xml:space="preserve">  Revenue Growth (%)</t>
        </is>
      </c>
      <c r="E19" s="27" t="n">
        <v>0</v>
      </c>
      <c r="F19" s="27" t="n">
        <v>0.02</v>
      </c>
      <c r="G19" s="27" t="n">
        <v>0.03</v>
      </c>
      <c r="H19" s="27" t="n">
        <v>0.02</v>
      </c>
      <c r="I19" s="27" t="n">
        <v>0.02</v>
      </c>
      <c r="J19" s="27" t="n">
        <v>0.01</v>
      </c>
      <c r="K19" s="27" t="n">
        <v>0.01</v>
      </c>
    </row>
    <row r="20">
      <c r="A20" s="25" t="inlineStr">
        <is>
          <t xml:space="preserve">  EBIT Margin (%)</t>
        </is>
      </c>
      <c r="E20" s="27" t="n">
        <v>0.15</v>
      </c>
      <c r="F20" s="27" t="n">
        <v>0.15</v>
      </c>
      <c r="G20" s="27" t="n">
        <v>0.15</v>
      </c>
      <c r="H20" s="27" t="n">
        <v>0.15</v>
      </c>
      <c r="I20" s="27" t="n">
        <v>0.15</v>
      </c>
      <c r="J20" s="27" t="n">
        <v>0.14</v>
      </c>
      <c r="K20" s="27" t="n">
        <v>0.14</v>
      </c>
    </row>
    <row r="21">
      <c r="A21" s="25" t="inlineStr">
        <is>
          <t xml:space="preserve">  D&amp;A % of Revenue</t>
        </is>
      </c>
      <c r="E21" s="27" t="n">
        <v>0.25</v>
      </c>
      <c r="F21" s="27" t="n">
        <v>0.25</v>
      </c>
      <c r="G21" s="27" t="n">
        <v>0.25</v>
      </c>
      <c r="H21" s="27" t="n">
        <v>0.25</v>
      </c>
      <c r="I21" s="27" t="n">
        <v>0.25</v>
      </c>
      <c r="J21" s="27" t="n">
        <v>0.25</v>
      </c>
      <c r="K21" s="27" t="n">
        <v>0.25</v>
      </c>
    </row>
    <row r="22">
      <c r="A22" s="25" t="inlineStr">
        <is>
          <t xml:space="preserve">  CapEx % of Revenue</t>
        </is>
      </c>
      <c r="E22" s="27" t="n">
        <v>0.005</v>
      </c>
      <c r="F22" s="27" t="n">
        <v>0.005</v>
      </c>
      <c r="G22" s="27" t="n">
        <v>0.005</v>
      </c>
      <c r="H22" s="27" t="n">
        <v>0.005</v>
      </c>
      <c r="I22" s="27" t="n">
        <v>0.005</v>
      </c>
      <c r="J22" s="27" t="n">
        <v>0.005</v>
      </c>
      <c r="K22" s="27" t="n">
        <v>0.005</v>
      </c>
    </row>
    <row r="23">
      <c r="A23" s="25" t="inlineStr">
        <is>
          <t xml:space="preserve">  NWC Change % of ΔRev</t>
        </is>
      </c>
      <c r="E23" s="27" t="n">
        <v>0.02</v>
      </c>
      <c r="F23" s="27" t="n">
        <v>0.02</v>
      </c>
      <c r="G23" s="27" t="n">
        <v>0.02</v>
      </c>
      <c r="H23" s="27" t="n">
        <v>0.02</v>
      </c>
      <c r="I23" s="27" t="n">
        <v>0.02</v>
      </c>
      <c r="J23" s="27" t="n">
        <v>0.02</v>
      </c>
      <c r="K23" s="27" t="n">
        <v>0.02</v>
      </c>
    </row>
    <row r="24">
      <c r="A24" s="25" t="inlineStr">
        <is>
          <t xml:space="preserve">  Tax Rate (%)</t>
        </is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</row>
    <row r="25">
      <c r="A25" s="25" t="inlineStr">
        <is>
          <t xml:space="preserve">  Terminal Growth Rate</t>
        </is>
      </c>
      <c r="E25" s="27" t="n">
        <v>0.015</v>
      </c>
    </row>
    <row r="26">
      <c r="A26" s="25" t="inlineStr">
        <is>
          <t xml:space="preserve">  WACC</t>
        </is>
      </c>
      <c r="E26" s="27" t="n">
        <v>0.073</v>
      </c>
    </row>
    <row r="27">
      <c r="A27" s="24" t="inlineStr">
        <is>
          <t>BASE CASE ASSUMPTIONS</t>
        </is>
      </c>
    </row>
    <row r="28">
      <c r="A28" s="25" t="inlineStr">
        <is>
          <t>Assumption</t>
        </is>
      </c>
      <c r="E28" s="26" t="inlineStr">
        <is>
          <t>2026E</t>
        </is>
      </c>
      <c r="F28" s="26" t="inlineStr">
        <is>
          <t>2027E</t>
        </is>
      </c>
      <c r="G28" s="26" t="inlineStr">
        <is>
          <t>2028E</t>
        </is>
      </c>
      <c r="H28" s="26" t="inlineStr">
        <is>
          <t>2029E</t>
        </is>
      </c>
      <c r="I28" s="26" t="inlineStr">
        <is>
          <t>2030E</t>
        </is>
      </c>
      <c r="J28" s="26" t="inlineStr">
        <is>
          <t>2031E</t>
        </is>
      </c>
      <c r="K28" s="26" t="inlineStr">
        <is>
          <t>2032E</t>
        </is>
      </c>
    </row>
    <row r="29">
      <c r="A29" s="25" t="inlineStr">
        <is>
          <t xml:space="preserve">  Revenue Growth (%)</t>
        </is>
      </c>
      <c r="E29" s="27" t="n">
        <v>0.03</v>
      </c>
      <c r="F29" s="27" t="n">
        <v>0.05</v>
      </c>
      <c r="G29" s="27" t="n">
        <v>0.06</v>
      </c>
      <c r="H29" s="27" t="n">
        <v>0.05</v>
      </c>
      <c r="I29" s="27" t="n">
        <v>0.04</v>
      </c>
      <c r="J29" s="27" t="n">
        <v>0.03</v>
      </c>
      <c r="K29" s="27" t="n">
        <v>0.03</v>
      </c>
    </row>
    <row r="30">
      <c r="A30" s="25" t="inlineStr">
        <is>
          <t xml:space="preserve">  EBIT Margin (%)</t>
        </is>
      </c>
      <c r="E30" s="27" t="n">
        <v>0.2</v>
      </c>
      <c r="F30" s="27" t="n">
        <v>0.21</v>
      </c>
      <c r="G30" s="27" t="n">
        <v>0.22</v>
      </c>
      <c r="H30" s="27" t="n">
        <v>0.22</v>
      </c>
      <c r="I30" s="27" t="n">
        <v>0.22</v>
      </c>
      <c r="J30" s="27" t="n">
        <v>0.23</v>
      </c>
      <c r="K30" s="27" t="n">
        <v>0.23</v>
      </c>
    </row>
    <row r="31">
      <c r="A31" s="25" t="inlineStr">
        <is>
          <t xml:space="preserve">  D&amp;A % of Revenue</t>
        </is>
      </c>
      <c r="E31" s="27" t="n">
        <v>0.24</v>
      </c>
      <c r="F31" s="27" t="n">
        <v>0.24</v>
      </c>
      <c r="G31" s="27" t="n">
        <v>0.24</v>
      </c>
      <c r="H31" s="27" t="n">
        <v>0.24</v>
      </c>
      <c r="I31" s="27" t="n">
        <v>0.24</v>
      </c>
      <c r="J31" s="27" t="n">
        <v>0.24</v>
      </c>
      <c r="K31" s="27" t="n">
        <v>0.24</v>
      </c>
    </row>
    <row r="32">
      <c r="A32" s="25" t="inlineStr">
        <is>
          <t xml:space="preserve">  CapEx % of Revenue</t>
        </is>
      </c>
      <c r="E32" s="27" t="n">
        <v>0.003</v>
      </c>
      <c r="F32" s="27" t="n">
        <v>0.003</v>
      </c>
      <c r="G32" s="27" t="n">
        <v>0.003</v>
      </c>
      <c r="H32" s="27" t="n">
        <v>0.003</v>
      </c>
      <c r="I32" s="27" t="n">
        <v>0.003</v>
      </c>
      <c r="J32" s="27" t="n">
        <v>0.003</v>
      </c>
      <c r="K32" s="27" t="n">
        <v>0.003</v>
      </c>
    </row>
    <row r="33">
      <c r="A33" s="25" t="inlineStr">
        <is>
          <t xml:space="preserve">  NWC Change % of ΔRev</t>
        </is>
      </c>
      <c r="E33" s="27" t="n">
        <v>0.01</v>
      </c>
      <c r="F33" s="27" t="n">
        <v>0.01</v>
      </c>
      <c r="G33" s="27" t="n">
        <v>0.01</v>
      </c>
      <c r="H33" s="27" t="n">
        <v>0.01</v>
      </c>
      <c r="I33" s="27" t="n">
        <v>0.01</v>
      </c>
      <c r="J33" s="27" t="n">
        <v>0.01</v>
      </c>
      <c r="K33" s="27" t="n">
        <v>0.01</v>
      </c>
    </row>
    <row r="34">
      <c r="A34" s="25" t="inlineStr">
        <is>
          <t xml:space="preserve">  Tax Rate (%)</t>
        </is>
      </c>
      <c r="E34" s="27" t="n">
        <v>0</v>
      </c>
      <c r="F34" s="27" t="n">
        <v>0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</row>
    <row r="35">
      <c r="A35" s="25" t="inlineStr">
        <is>
          <t xml:space="preserve">  Terminal Growth Rate</t>
        </is>
      </c>
      <c r="E35" s="27" t="n">
        <v>0.025</v>
      </c>
    </row>
    <row r="36">
      <c r="A36" s="25" t="inlineStr">
        <is>
          <t xml:space="preserve">  WACC</t>
        </is>
      </c>
      <c r="E36" s="27" t="n">
        <v>0.07199999999999999</v>
      </c>
    </row>
    <row r="37">
      <c r="A37" s="24" t="inlineStr">
        <is>
          <t>BULL CASE ASSUMPTIONS</t>
        </is>
      </c>
    </row>
    <row r="38">
      <c r="A38" s="25" t="inlineStr">
        <is>
          <t>Assumption</t>
        </is>
      </c>
      <c r="E38" s="26" t="inlineStr">
        <is>
          <t>2026E</t>
        </is>
      </c>
      <c r="F38" s="26" t="inlineStr">
        <is>
          <t>2027E</t>
        </is>
      </c>
      <c r="G38" s="26" t="inlineStr">
        <is>
          <t>2028E</t>
        </is>
      </c>
      <c r="H38" s="26" t="inlineStr">
        <is>
          <t>2029E</t>
        </is>
      </c>
      <c r="I38" s="26" t="inlineStr">
        <is>
          <t>2030E</t>
        </is>
      </c>
      <c r="J38" s="26" t="inlineStr">
        <is>
          <t>2031E</t>
        </is>
      </c>
      <c r="K38" s="26" t="inlineStr">
        <is>
          <t>2032E</t>
        </is>
      </c>
    </row>
    <row r="39">
      <c r="A39" s="25" t="inlineStr">
        <is>
          <t xml:space="preserve">  Revenue Growth (%)</t>
        </is>
      </c>
      <c r="E39" s="27" t="n">
        <v>0.05</v>
      </c>
      <c r="F39" s="27" t="n">
        <v>0.08</v>
      </c>
      <c r="G39" s="27" t="n">
        <v>0.1</v>
      </c>
      <c r="H39" s="27" t="n">
        <v>0.08</v>
      </c>
      <c r="I39" s="27" t="n">
        <v>0.07000000000000001</v>
      </c>
      <c r="J39" s="27" t="n">
        <v>0.05</v>
      </c>
      <c r="K39" s="27" t="n">
        <v>0.04</v>
      </c>
    </row>
    <row r="40">
      <c r="A40" s="25" t="inlineStr">
        <is>
          <t xml:space="preserve">  EBIT Margin (%)</t>
        </is>
      </c>
      <c r="E40" s="27" t="n">
        <v>0.26</v>
      </c>
      <c r="F40" s="27" t="n">
        <v>0.27</v>
      </c>
      <c r="G40" s="27" t="n">
        <v>0.28</v>
      </c>
      <c r="H40" s="27" t="n">
        <v>0.28</v>
      </c>
      <c r="I40" s="27" t="n">
        <v>0.28</v>
      </c>
      <c r="J40" s="27" t="n">
        <v>0.3</v>
      </c>
      <c r="K40" s="27" t="n">
        <v>0.3</v>
      </c>
    </row>
    <row r="41">
      <c r="A41" s="25" t="inlineStr">
        <is>
          <t xml:space="preserve">  D&amp;A % of Revenue</t>
        </is>
      </c>
      <c r="E41" s="27" t="n">
        <v>0.22</v>
      </c>
      <c r="F41" s="27" t="n">
        <v>0.22</v>
      </c>
      <c r="G41" s="27" t="n">
        <v>0.22</v>
      </c>
      <c r="H41" s="27" t="n">
        <v>0.22</v>
      </c>
      <c r="I41" s="27" t="n">
        <v>0.22</v>
      </c>
      <c r="J41" s="27" t="n">
        <v>0.22</v>
      </c>
      <c r="K41" s="27" t="n">
        <v>0.22</v>
      </c>
    </row>
    <row r="42">
      <c r="A42" s="25" t="inlineStr">
        <is>
          <t xml:space="preserve">  CapEx % of Revenue</t>
        </is>
      </c>
      <c r="E42" s="27" t="n">
        <v>0.002</v>
      </c>
      <c r="F42" s="27" t="n">
        <v>0.002</v>
      </c>
      <c r="G42" s="27" t="n">
        <v>0.002</v>
      </c>
      <c r="H42" s="27" t="n">
        <v>0.002</v>
      </c>
      <c r="I42" s="27" t="n">
        <v>0.002</v>
      </c>
      <c r="J42" s="27" t="n">
        <v>0.002</v>
      </c>
      <c r="K42" s="27" t="n">
        <v>0.002</v>
      </c>
    </row>
    <row r="43">
      <c r="A43" s="25" t="inlineStr">
        <is>
          <t xml:space="preserve">  NWC Change % of ΔRev</t>
        </is>
      </c>
      <c r="E43" s="27" t="n">
        <v>0</v>
      </c>
      <c r="F43" s="27" t="n">
        <v>0</v>
      </c>
      <c r="G43" s="27" t="n">
        <v>0</v>
      </c>
      <c r="H43" s="27" t="n">
        <v>0</v>
      </c>
      <c r="I43" s="27" t="n">
        <v>0</v>
      </c>
      <c r="J43" s="27" t="n">
        <v>0</v>
      </c>
      <c r="K43" s="27" t="n">
        <v>0</v>
      </c>
    </row>
    <row r="44">
      <c r="A44" s="25" t="inlineStr">
        <is>
          <t xml:space="preserve">  Tax Rate (%)</t>
        </is>
      </c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0</v>
      </c>
      <c r="J44" s="27" t="n">
        <v>0</v>
      </c>
      <c r="K44" s="27" t="n">
        <v>0</v>
      </c>
    </row>
    <row r="45">
      <c r="A45" s="25" t="inlineStr">
        <is>
          <t xml:space="preserve">  Terminal Growth Rate</t>
        </is>
      </c>
      <c r="E45" s="27" t="n">
        <v>0.035</v>
      </c>
    </row>
    <row r="46">
      <c r="A46" s="25" t="inlineStr">
        <is>
          <t xml:space="preserve">  WACC</t>
        </is>
      </c>
      <c r="E46" s="27" t="n">
        <v>0.07000000000000001</v>
      </c>
    </row>
    <row r="47">
      <c r="A47" s="6" t="inlineStr">
        <is>
          <t>SELECTED CASE — Consolidation Column (drives all projection formulas)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8" t="n"/>
    </row>
    <row r="48">
      <c r="A48" s="12" t="inlineStr">
        <is>
          <t>Assumption</t>
        </is>
      </c>
      <c r="B48" s="18" t="n"/>
      <c r="C48" s="18" t="n"/>
      <c r="D48" s="18" t="n"/>
      <c r="E48" s="10" t="inlineStr">
        <is>
          <t>2026E</t>
        </is>
      </c>
      <c r="F48" s="10" t="inlineStr">
        <is>
          <t>2027E</t>
        </is>
      </c>
      <c r="G48" s="10" t="inlineStr">
        <is>
          <t>2028E</t>
        </is>
      </c>
      <c r="H48" s="10" t="inlineStr">
        <is>
          <t>2029E</t>
        </is>
      </c>
      <c r="I48" s="10" t="inlineStr">
        <is>
          <t>2030E</t>
        </is>
      </c>
      <c r="J48" s="10" t="inlineStr">
        <is>
          <t>2031E</t>
        </is>
      </c>
      <c r="K48" s="28" t="inlineStr">
        <is>
          <t>2032E</t>
        </is>
      </c>
    </row>
    <row r="49">
      <c r="A49" s="12" t="inlineStr">
        <is>
          <t xml:space="preserve">  Revenue Growth (%)</t>
        </is>
      </c>
      <c r="B49" s="18" t="n"/>
      <c r="C49" s="18" t="n"/>
      <c r="D49" s="18" t="n"/>
      <c r="E49" s="29">
        <f>IF($B$5=1,E19,IF($B$5=2,E29,E39))</f>
        <v/>
      </c>
      <c r="F49" s="29">
        <f>IF($B$5=1,F19,IF($B$5=2,F29,F39))</f>
        <v/>
      </c>
      <c r="G49" s="29">
        <f>IF($B$5=1,G19,IF($B$5=2,G29,G39))</f>
        <v/>
      </c>
      <c r="H49" s="29">
        <f>IF($B$5=1,H19,IF($B$5=2,H29,H39))</f>
        <v/>
      </c>
      <c r="I49" s="29">
        <f>IF($B$5=1,I19,IF($B$5=2,I29,I39))</f>
        <v/>
      </c>
      <c r="J49" s="29">
        <f>IF($B$5=1,J19,IF($B$5=2,J29,J39))</f>
        <v/>
      </c>
      <c r="K49" s="30">
        <f>IF($B$5=1,K19,IF($B$5=2,K29,K39))</f>
        <v/>
      </c>
    </row>
    <row r="50">
      <c r="A50" s="12" t="inlineStr">
        <is>
          <t xml:space="preserve">  EBIT Margin (%)</t>
        </is>
      </c>
      <c r="B50" s="18" t="n"/>
      <c r="C50" s="18" t="n"/>
      <c r="D50" s="18" t="n"/>
      <c r="E50" s="29">
        <f>IF($B$5=1,E20,IF($B$5=2,E30,E40))</f>
        <v/>
      </c>
      <c r="F50" s="29">
        <f>IF($B$5=1,F20,IF($B$5=2,F30,F40))</f>
        <v/>
      </c>
      <c r="G50" s="29">
        <f>IF($B$5=1,G20,IF($B$5=2,G30,G40))</f>
        <v/>
      </c>
      <c r="H50" s="29">
        <f>IF($B$5=1,H20,IF($B$5=2,H30,H40))</f>
        <v/>
      </c>
      <c r="I50" s="29">
        <f>IF($B$5=1,I20,IF($B$5=2,I30,I40))</f>
        <v/>
      </c>
      <c r="J50" s="29">
        <f>IF($B$5=1,J20,IF($B$5=2,J30,J40))</f>
        <v/>
      </c>
      <c r="K50" s="30">
        <f>IF($B$5=1,K20,IF($B$5=2,K30,K40))</f>
        <v/>
      </c>
    </row>
    <row r="51">
      <c r="A51" s="12" t="inlineStr">
        <is>
          <t xml:space="preserve">  D&amp;A % of Revenue</t>
        </is>
      </c>
      <c r="B51" s="18" t="n"/>
      <c r="C51" s="18" t="n"/>
      <c r="D51" s="18" t="n"/>
      <c r="E51" s="29">
        <f>IF($B$5=1,E21,IF($B$5=2,E31,E41))</f>
        <v/>
      </c>
      <c r="F51" s="29">
        <f>IF($B$5=1,F21,IF($B$5=2,F31,F41))</f>
        <v/>
      </c>
      <c r="G51" s="29">
        <f>IF($B$5=1,G21,IF($B$5=2,G31,G41))</f>
        <v/>
      </c>
      <c r="H51" s="29">
        <f>IF($B$5=1,H21,IF($B$5=2,H31,H41))</f>
        <v/>
      </c>
      <c r="I51" s="29">
        <f>IF($B$5=1,I21,IF($B$5=2,I31,I41))</f>
        <v/>
      </c>
      <c r="J51" s="29">
        <f>IF($B$5=1,J21,IF($B$5=2,J31,J41))</f>
        <v/>
      </c>
      <c r="K51" s="30">
        <f>IF($B$5=1,K21,IF($B$5=2,K31,K41))</f>
        <v/>
      </c>
    </row>
    <row r="52">
      <c r="A52" s="12" t="inlineStr">
        <is>
          <t xml:space="preserve">  CapEx % of Revenue</t>
        </is>
      </c>
      <c r="B52" s="18" t="n"/>
      <c r="C52" s="18" t="n"/>
      <c r="D52" s="18" t="n"/>
      <c r="E52" s="29">
        <f>IF($B$5=1,E22,IF($B$5=2,E32,E42))</f>
        <v/>
      </c>
      <c r="F52" s="29">
        <f>IF($B$5=1,F22,IF($B$5=2,F32,F42))</f>
        <v/>
      </c>
      <c r="G52" s="29">
        <f>IF($B$5=1,G22,IF($B$5=2,G32,G42))</f>
        <v/>
      </c>
      <c r="H52" s="29">
        <f>IF($B$5=1,H22,IF($B$5=2,H32,H42))</f>
        <v/>
      </c>
      <c r="I52" s="29">
        <f>IF($B$5=1,I22,IF($B$5=2,I32,I42))</f>
        <v/>
      </c>
      <c r="J52" s="29">
        <f>IF($B$5=1,J22,IF($B$5=2,J32,J42))</f>
        <v/>
      </c>
      <c r="K52" s="30">
        <f>IF($B$5=1,K22,IF($B$5=2,K32,K42))</f>
        <v/>
      </c>
    </row>
    <row r="53">
      <c r="A53" s="12" t="inlineStr">
        <is>
          <t xml:space="preserve">  NWC Change % of ΔRev</t>
        </is>
      </c>
      <c r="B53" s="18" t="n"/>
      <c r="C53" s="18" t="n"/>
      <c r="D53" s="18" t="n"/>
      <c r="E53" s="29">
        <f>IF($B$5=1,E23,IF($B$5=2,E33,E43))</f>
        <v/>
      </c>
      <c r="F53" s="29">
        <f>IF($B$5=1,F23,IF($B$5=2,F33,F43))</f>
        <v/>
      </c>
      <c r="G53" s="29">
        <f>IF($B$5=1,G23,IF($B$5=2,G33,G43))</f>
        <v/>
      </c>
      <c r="H53" s="29">
        <f>IF($B$5=1,H23,IF($B$5=2,H33,H43))</f>
        <v/>
      </c>
      <c r="I53" s="29">
        <f>IF($B$5=1,I23,IF($B$5=2,I33,I43))</f>
        <v/>
      </c>
      <c r="J53" s="29">
        <f>IF($B$5=1,J23,IF($B$5=2,J33,J43))</f>
        <v/>
      </c>
      <c r="K53" s="30">
        <f>IF($B$5=1,K23,IF($B$5=2,K33,K43))</f>
        <v/>
      </c>
    </row>
    <row r="54">
      <c r="A54" s="12" t="inlineStr">
        <is>
          <t xml:space="preserve">  Tax Rate (%)</t>
        </is>
      </c>
      <c r="B54" s="18" t="n"/>
      <c r="C54" s="18" t="n"/>
      <c r="D54" s="18" t="n"/>
      <c r="E54" s="29">
        <f>IF($B$5=1,E24,IF($B$5=2,E34,E44))</f>
        <v/>
      </c>
      <c r="F54" s="29">
        <f>IF($B$5=1,F24,IF($B$5=2,F34,F44))</f>
        <v/>
      </c>
      <c r="G54" s="29">
        <f>IF($B$5=1,G24,IF($B$5=2,G34,G44))</f>
        <v/>
      </c>
      <c r="H54" s="29">
        <f>IF($B$5=1,H24,IF($B$5=2,H34,H44))</f>
        <v/>
      </c>
      <c r="I54" s="29">
        <f>IF($B$5=1,I24,IF($B$5=2,I34,I44))</f>
        <v/>
      </c>
      <c r="J54" s="29">
        <f>IF($B$5=1,J24,IF($B$5=2,J34,J44))</f>
        <v/>
      </c>
      <c r="K54" s="30">
        <f>IF($B$5=1,K24,IF($B$5=2,K34,K44))</f>
        <v/>
      </c>
    </row>
    <row r="55">
      <c r="A55" s="12" t="inlineStr">
        <is>
          <t xml:space="preserve">  Terminal Growth Rate</t>
        </is>
      </c>
      <c r="B55" s="18" t="n"/>
      <c r="C55" s="18" t="n"/>
      <c r="D55" s="18" t="n"/>
      <c r="E55" s="29">
        <f>IF($B$5=1,E25,IF($B$5=2,E35,E45))</f>
        <v/>
      </c>
      <c r="F55" s="29">
        <f>IF($B$5=1,E25,IF($B$5=2,E35,E45))</f>
        <v/>
      </c>
      <c r="G55" s="29">
        <f>IF($B$5=1,E25,IF($B$5=2,E35,E45))</f>
        <v/>
      </c>
      <c r="H55" s="29">
        <f>IF($B$5=1,E25,IF($B$5=2,E35,E45))</f>
        <v/>
      </c>
      <c r="I55" s="29">
        <f>IF($B$5=1,E25,IF($B$5=2,E35,E45))</f>
        <v/>
      </c>
      <c r="J55" s="29">
        <f>IF($B$5=1,E25,IF($B$5=2,E35,E45))</f>
        <v/>
      </c>
      <c r="K55" s="30">
        <f>IF($B$5=1,E25,IF($B$5=2,E35,E45))</f>
        <v/>
      </c>
    </row>
    <row r="56">
      <c r="A56" s="19" t="inlineStr">
        <is>
          <t xml:space="preserve">  WACC</t>
        </is>
      </c>
      <c r="B56" s="31" t="n"/>
      <c r="C56" s="31" t="n"/>
      <c r="D56" s="31" t="n"/>
      <c r="E56" s="32">
        <f>IF($B$5=1,E26,IF($B$5=2,E36,E46))</f>
        <v/>
      </c>
      <c r="F56" s="32">
        <f>IF($B$5=1,E26,IF($B$5=2,E36,E46))</f>
        <v/>
      </c>
      <c r="G56" s="32">
        <f>IF($B$5=1,E26,IF($B$5=2,E36,E46))</f>
        <v/>
      </c>
      <c r="H56" s="32">
        <f>IF($B$5=1,E26,IF($B$5=2,E36,E46))</f>
        <v/>
      </c>
      <c r="I56" s="32">
        <f>IF($B$5=1,E26,IF($B$5=2,E36,E46))</f>
        <v/>
      </c>
      <c r="J56" s="32">
        <f>IF($B$5=1,E26,IF($B$5=2,E36,E46))</f>
        <v/>
      </c>
      <c r="K56" s="33">
        <f>IF($B$5=1,E26,IF($B$5=2,E36,E46))</f>
        <v/>
      </c>
    </row>
    <row r="58">
      <c r="A58" s="6" t="inlineStr">
        <is>
          <t>INCOME STATEMENT SUMMARY ($M)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8" t="n"/>
    </row>
    <row r="59">
      <c r="A59" s="12" t="inlineStr">
        <is>
          <t>Item</t>
        </is>
      </c>
      <c r="B59" s="10" t="inlineStr">
        <is>
          <t>2023A</t>
        </is>
      </c>
      <c r="C59" s="10" t="inlineStr">
        <is>
          <t>2024A</t>
        </is>
      </c>
      <c r="D59" s="10" t="inlineStr">
        <is>
          <t>2025A</t>
        </is>
      </c>
      <c r="E59" s="10" t="inlineStr">
        <is>
          <t>2026E</t>
        </is>
      </c>
      <c r="F59" s="10" t="inlineStr">
        <is>
          <t>2027E</t>
        </is>
      </c>
      <c r="G59" s="10" t="inlineStr">
        <is>
          <t>2028E</t>
        </is>
      </c>
      <c r="H59" s="10" t="inlineStr">
        <is>
          <t>2029E</t>
        </is>
      </c>
      <c r="I59" s="10" t="inlineStr">
        <is>
          <t>2030E</t>
        </is>
      </c>
      <c r="J59" s="10" t="inlineStr">
        <is>
          <t>2031E</t>
        </is>
      </c>
      <c r="K59" s="28" t="inlineStr">
        <is>
          <t>2032E</t>
        </is>
      </c>
    </row>
    <row r="60">
      <c r="A60" s="34" t="inlineStr">
        <is>
          <t>Revenue ($M)</t>
        </is>
      </c>
      <c r="B60" s="16" t="n">
        <v>79.90000000000001</v>
      </c>
      <c r="C60" s="16" t="n">
        <v>82.09999999999999</v>
      </c>
      <c r="D60" s="16" t="n">
        <v>111.8</v>
      </c>
      <c r="E60" s="17">
        <f>D60*(1+E49)</f>
        <v/>
      </c>
      <c r="F60" s="17">
        <f>E60*(1+F49)</f>
        <v/>
      </c>
      <c r="G60" s="17">
        <f>F60*(1+G49)</f>
        <v/>
      </c>
      <c r="H60" s="17">
        <f>G60*(1+H49)</f>
        <v/>
      </c>
      <c r="I60" s="17">
        <f>H60*(1+I49)</f>
        <v/>
      </c>
      <c r="J60" s="17">
        <f>I60*(1+J49)</f>
        <v/>
      </c>
      <c r="K60" s="35">
        <f>J60*(1+K49)</f>
        <v/>
      </c>
    </row>
    <row r="61">
      <c r="A61" s="12" t="inlineStr">
        <is>
          <t xml:space="preserve">  % Growth YoY</t>
        </is>
      </c>
      <c r="B61" s="18" t="n"/>
      <c r="C61" s="36">
        <f>C60/B60-1</f>
        <v/>
      </c>
      <c r="D61" s="36">
        <f>D60/C60-1</f>
        <v/>
      </c>
      <c r="E61" s="36">
        <f>E49</f>
        <v/>
      </c>
      <c r="F61" s="36">
        <f>F49</f>
        <v/>
      </c>
      <c r="G61" s="36">
        <f>G49</f>
        <v/>
      </c>
      <c r="H61" s="36">
        <f>H49</f>
        <v/>
      </c>
      <c r="I61" s="36">
        <f>I49</f>
        <v/>
      </c>
      <c r="J61" s="36">
        <f>J49</f>
        <v/>
      </c>
      <c r="K61" s="37">
        <f>K49</f>
        <v/>
      </c>
    </row>
    <row r="62">
      <c r="A62" s="3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1" t="n"/>
    </row>
    <row r="63">
      <c r="A63" s="34" t="inlineStr">
        <is>
          <t>EBIT ($M)</t>
        </is>
      </c>
      <c r="B63" s="16" t="n">
        <v>-13.4</v>
      </c>
      <c r="C63" s="16" t="n">
        <v>-16.8</v>
      </c>
      <c r="D63" s="16" t="n">
        <v>17.9</v>
      </c>
      <c r="E63" s="17">
        <f>E60*E50</f>
        <v/>
      </c>
      <c r="F63" s="17">
        <f>F60*F50</f>
        <v/>
      </c>
      <c r="G63" s="17">
        <f>G60*G50</f>
        <v/>
      </c>
      <c r="H63" s="17">
        <f>H60*H50</f>
        <v/>
      </c>
      <c r="I63" s="17">
        <f>I60*I50</f>
        <v/>
      </c>
      <c r="J63" s="17">
        <f>J60*J50</f>
        <v/>
      </c>
      <c r="K63" s="35">
        <f>K60*K50</f>
        <v/>
      </c>
    </row>
    <row r="64">
      <c r="A64" s="12" t="inlineStr">
        <is>
          <t xml:space="preserve">  EBIT Margin %</t>
        </is>
      </c>
      <c r="B64" s="39" t="n">
        <v>-0.1677096370463079</v>
      </c>
      <c r="C64" s="39" t="n">
        <v>-0.2046285018270402</v>
      </c>
      <c r="D64" s="39" t="n">
        <v>0.1601073345259392</v>
      </c>
      <c r="E64" s="36">
        <f>E50</f>
        <v/>
      </c>
      <c r="F64" s="36">
        <f>F50</f>
        <v/>
      </c>
      <c r="G64" s="36">
        <f>G50</f>
        <v/>
      </c>
      <c r="H64" s="36">
        <f>H50</f>
        <v/>
      </c>
      <c r="I64" s="36">
        <f>I50</f>
        <v/>
      </c>
      <c r="J64" s="36">
        <f>J50</f>
        <v/>
      </c>
      <c r="K64" s="37">
        <f>K50</f>
        <v/>
      </c>
    </row>
    <row r="65">
      <c r="A65" s="3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1" t="n"/>
    </row>
    <row r="66">
      <c r="A66" s="12" t="inlineStr">
        <is>
          <t xml:space="preserve">  Taxes ($M)</t>
        </is>
      </c>
      <c r="B66" s="18" t="n"/>
      <c r="C66" s="18" t="n"/>
      <c r="D66" s="18" t="n"/>
      <c r="E66" s="17">
        <f>E63*E54</f>
        <v/>
      </c>
      <c r="F66" s="17">
        <f>F63*F54</f>
        <v/>
      </c>
      <c r="G66" s="17">
        <f>G63*G54</f>
        <v/>
      </c>
      <c r="H66" s="17">
        <f>H63*H54</f>
        <v/>
      </c>
      <c r="I66" s="17">
        <f>I63*I54</f>
        <v/>
      </c>
      <c r="J66" s="17">
        <f>J63*J54</f>
        <v/>
      </c>
      <c r="K66" s="35">
        <f>K63*K54</f>
        <v/>
      </c>
    </row>
    <row r="67">
      <c r="A67" s="12" t="inlineStr">
        <is>
          <t xml:space="preserve">  Tax Rate %</t>
        </is>
      </c>
      <c r="B67" s="18" t="n"/>
      <c r="C67" s="18" t="n"/>
      <c r="D67" s="18" t="n"/>
      <c r="E67" s="36">
        <f>E54</f>
        <v/>
      </c>
      <c r="F67" s="36">
        <f>F54</f>
        <v/>
      </c>
      <c r="G67" s="36">
        <f>G54</f>
        <v/>
      </c>
      <c r="H67" s="36">
        <f>H54</f>
        <v/>
      </c>
      <c r="I67" s="36">
        <f>I54</f>
        <v/>
      </c>
      <c r="J67" s="36">
        <f>J54</f>
        <v/>
      </c>
      <c r="K67" s="37">
        <f>K54</f>
        <v/>
      </c>
    </row>
    <row r="68">
      <c r="A68" s="3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1" t="n"/>
    </row>
    <row r="69">
      <c r="A69" s="40" t="inlineStr">
        <is>
          <t>NOPAT ($M)</t>
        </is>
      </c>
      <c r="B69" s="20" t="n">
        <v>-13.4</v>
      </c>
      <c r="C69" s="20" t="n">
        <v>-16.8</v>
      </c>
      <c r="D69" s="20" t="n">
        <v>17.9</v>
      </c>
      <c r="E69" s="41">
        <f>E63-E66</f>
        <v/>
      </c>
      <c r="F69" s="41">
        <f>F63-F66</f>
        <v/>
      </c>
      <c r="G69" s="41">
        <f>G63-G66</f>
        <v/>
      </c>
      <c r="H69" s="41">
        <f>H63-H66</f>
        <v/>
      </c>
      <c r="I69" s="41">
        <f>I63-I66</f>
        <v/>
      </c>
      <c r="J69" s="41">
        <f>J63-J66</f>
        <v/>
      </c>
      <c r="K69" s="42">
        <f>K63-K66</f>
        <v/>
      </c>
    </row>
    <row r="71">
      <c r="A71" s="6" t="inlineStr">
        <is>
          <t>FREE CASH FLOW BUILD ($M)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8" t="n"/>
    </row>
    <row r="72">
      <c r="A72" s="12" t="inlineStr">
        <is>
          <t>Item</t>
        </is>
      </c>
      <c r="B72" s="10" t="inlineStr">
        <is>
          <t>2023A</t>
        </is>
      </c>
      <c r="C72" s="10" t="inlineStr">
        <is>
          <t>2024A</t>
        </is>
      </c>
      <c r="D72" s="10" t="inlineStr">
        <is>
          <t>2025A</t>
        </is>
      </c>
      <c r="E72" s="10" t="inlineStr">
        <is>
          <t>2026E</t>
        </is>
      </c>
      <c r="F72" s="10" t="inlineStr">
        <is>
          <t>2027E</t>
        </is>
      </c>
      <c r="G72" s="10" t="inlineStr">
        <is>
          <t>2028E</t>
        </is>
      </c>
      <c r="H72" s="10" t="inlineStr">
        <is>
          <t>2029E</t>
        </is>
      </c>
      <c r="I72" s="10" t="inlineStr">
        <is>
          <t>2030E</t>
        </is>
      </c>
      <c r="J72" s="10" t="inlineStr">
        <is>
          <t>2031E</t>
        </is>
      </c>
      <c r="K72" s="28" t="inlineStr">
        <is>
          <t>2032E</t>
        </is>
      </c>
    </row>
    <row r="73">
      <c r="A73" s="34" t="inlineStr">
        <is>
          <t>NOPAT ($M)</t>
        </is>
      </c>
      <c r="B73" s="17">
        <f>B69</f>
        <v/>
      </c>
      <c r="C73" s="17">
        <f>C69</f>
        <v/>
      </c>
      <c r="D73" s="17">
        <f>D69</f>
        <v/>
      </c>
      <c r="E73" s="17">
        <f>E69</f>
        <v/>
      </c>
      <c r="F73" s="17">
        <f>F69</f>
        <v/>
      </c>
      <c r="G73" s="17">
        <f>G69</f>
        <v/>
      </c>
      <c r="H73" s="17">
        <f>H69</f>
        <v/>
      </c>
      <c r="I73" s="17">
        <f>I69</f>
        <v/>
      </c>
      <c r="J73" s="17">
        <f>J69</f>
        <v/>
      </c>
      <c r="K73" s="35">
        <f>K69</f>
        <v/>
      </c>
    </row>
    <row r="74">
      <c r="A74" s="12" t="inlineStr">
        <is>
          <t>(+) D&amp;A ($M)</t>
        </is>
      </c>
      <c r="B74" s="16" t="n">
        <v>21.6</v>
      </c>
      <c r="C74" s="16" t="n">
        <v>20.3</v>
      </c>
      <c r="D74" s="16" t="n">
        <v>26.1</v>
      </c>
      <c r="E74" s="17">
        <f>E60*E51</f>
        <v/>
      </c>
      <c r="F74" s="17">
        <f>F60*F51</f>
        <v/>
      </c>
      <c r="G74" s="17">
        <f>G60*G51</f>
        <v/>
      </c>
      <c r="H74" s="17">
        <f>H60*H51</f>
        <v/>
      </c>
      <c r="I74" s="17">
        <f>I60*I51</f>
        <v/>
      </c>
      <c r="J74" s="17">
        <f>J60*J51</f>
        <v/>
      </c>
      <c r="K74" s="35">
        <f>K60*K51</f>
        <v/>
      </c>
    </row>
    <row r="75">
      <c r="A75" s="12" t="inlineStr">
        <is>
          <t xml:space="preserve">    % of Revenue</t>
        </is>
      </c>
      <c r="B75" s="36">
        <f>B74/B60</f>
        <v/>
      </c>
      <c r="C75" s="36">
        <f>C74/C60</f>
        <v/>
      </c>
      <c r="D75" s="36">
        <f>D74/D60</f>
        <v/>
      </c>
      <c r="E75" s="36">
        <f>E51</f>
        <v/>
      </c>
      <c r="F75" s="36">
        <f>F51</f>
        <v/>
      </c>
      <c r="G75" s="36">
        <f>G51</f>
        <v/>
      </c>
      <c r="H75" s="36">
        <f>H51</f>
        <v/>
      </c>
      <c r="I75" s="36">
        <f>I51</f>
        <v/>
      </c>
      <c r="J75" s="36">
        <f>J51</f>
        <v/>
      </c>
      <c r="K75" s="37">
        <f>K51</f>
        <v/>
      </c>
    </row>
    <row r="76">
      <c r="A76" s="12" t="inlineStr">
        <is>
          <t>(-) CapEx ($M)</t>
        </is>
      </c>
      <c r="B76" s="16" t="n">
        <v>0.3</v>
      </c>
      <c r="C76" s="16" t="n">
        <v>0.4</v>
      </c>
      <c r="D76" s="16" t="n">
        <v>0.2</v>
      </c>
      <c r="E76" s="17">
        <f>E60*E52</f>
        <v/>
      </c>
      <c r="F76" s="17">
        <f>F60*F52</f>
        <v/>
      </c>
      <c r="G76" s="17">
        <f>G60*G52</f>
        <v/>
      </c>
      <c r="H76" s="17">
        <f>H60*H52</f>
        <v/>
      </c>
      <c r="I76" s="17">
        <f>I60*I52</f>
        <v/>
      </c>
      <c r="J76" s="17">
        <f>J60*J52</f>
        <v/>
      </c>
      <c r="K76" s="35">
        <f>K60*K52</f>
        <v/>
      </c>
    </row>
    <row r="77">
      <c r="A77" s="12" t="inlineStr">
        <is>
          <t xml:space="preserve">    % of Revenue</t>
        </is>
      </c>
      <c r="B77" s="18" t="n"/>
      <c r="C77" s="18" t="n"/>
      <c r="D77" s="18" t="n"/>
      <c r="E77" s="36">
        <f>E52</f>
        <v/>
      </c>
      <c r="F77" s="36">
        <f>F52</f>
        <v/>
      </c>
      <c r="G77" s="36">
        <f>G52</f>
        <v/>
      </c>
      <c r="H77" s="36">
        <f>H52</f>
        <v/>
      </c>
      <c r="I77" s="36">
        <f>I52</f>
        <v/>
      </c>
      <c r="J77" s="36">
        <f>J52</f>
        <v/>
      </c>
      <c r="K77" s="37">
        <f>K52</f>
        <v/>
      </c>
    </row>
    <row r="78">
      <c r="A78" s="12" t="inlineStr">
        <is>
          <t>(-) Δ NWC ($M)</t>
        </is>
      </c>
      <c r="B78" s="16" t="n">
        <v>0</v>
      </c>
      <c r="C78" s="16" t="n">
        <v>0</v>
      </c>
      <c r="D78" s="16" t="n">
        <v>0</v>
      </c>
      <c r="E78" s="17">
        <f>(E60-D60)*E53</f>
        <v/>
      </c>
      <c r="F78" s="17">
        <f>(F60-E60)*F53</f>
        <v/>
      </c>
      <c r="G78" s="17">
        <f>(G60-F60)*G53</f>
        <v/>
      </c>
      <c r="H78" s="17">
        <f>(H60-G60)*H53</f>
        <v/>
      </c>
      <c r="I78" s="17">
        <f>(I60-H60)*I53</f>
        <v/>
      </c>
      <c r="J78" s="17">
        <f>(J60-I60)*J53</f>
        <v/>
      </c>
      <c r="K78" s="35">
        <f>(K60-J60)*K53</f>
        <v/>
      </c>
    </row>
    <row r="79">
      <c r="A79" s="12" t="inlineStr">
        <is>
          <t xml:space="preserve">    % of ΔRevenue</t>
        </is>
      </c>
      <c r="B79" s="18" t="n"/>
      <c r="C79" s="18" t="n"/>
      <c r="D79" s="18" t="n"/>
      <c r="E79" s="36">
        <f>E53</f>
        <v/>
      </c>
      <c r="F79" s="36">
        <f>F53</f>
        <v/>
      </c>
      <c r="G79" s="36">
        <f>G53</f>
        <v/>
      </c>
      <c r="H79" s="36">
        <f>H53</f>
        <v/>
      </c>
      <c r="I79" s="36">
        <f>I53</f>
        <v/>
      </c>
      <c r="J79" s="36">
        <f>J53</f>
        <v/>
      </c>
      <c r="K79" s="37">
        <f>K53</f>
        <v/>
      </c>
    </row>
    <row r="80">
      <c r="A80" s="3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1" t="n"/>
    </row>
    <row r="81">
      <c r="A81" s="34" t="inlineStr">
        <is>
          <t>Unlevered Free Cash Flow ($M)</t>
        </is>
      </c>
      <c r="B81" s="43">
        <f>B73+B74-B76-B78</f>
        <v/>
      </c>
      <c r="C81" s="43">
        <f>C73+C74-C76-C78</f>
        <v/>
      </c>
      <c r="D81" s="43">
        <f>D73+D74-D76-D78</f>
        <v/>
      </c>
      <c r="E81" s="44">
        <f>E73+E74-E76-E78</f>
        <v/>
      </c>
      <c r="F81" s="44">
        <f>F73+F74-F76-F78</f>
        <v/>
      </c>
      <c r="G81" s="44">
        <f>G73+G74-G76-G78</f>
        <v/>
      </c>
      <c r="H81" s="44">
        <f>H73+H74-H76-H78</f>
        <v/>
      </c>
      <c r="I81" s="44">
        <f>I73+I74-I76-I78</f>
        <v/>
      </c>
      <c r="J81" s="44">
        <f>J73+J74-J76-J78</f>
        <v/>
      </c>
      <c r="K81" s="45">
        <f>K73+K74-K76-K78</f>
        <v/>
      </c>
    </row>
    <row r="82">
      <c r="A82" s="19" t="inlineStr">
        <is>
          <t xml:space="preserve">  FCF Margin %</t>
        </is>
      </c>
      <c r="B82" s="46">
        <f>B81/B60</f>
        <v/>
      </c>
      <c r="C82" s="46">
        <f>C81/C60</f>
        <v/>
      </c>
      <c r="D82" s="46">
        <f>D81/D60</f>
        <v/>
      </c>
      <c r="E82" s="46">
        <f>E81/E60</f>
        <v/>
      </c>
      <c r="F82" s="46">
        <f>F81/F60</f>
        <v/>
      </c>
      <c r="G82" s="46">
        <f>G81/G60</f>
        <v/>
      </c>
      <c r="H82" s="46">
        <f>H81/H60</f>
        <v/>
      </c>
      <c r="I82" s="46">
        <f>I81/I60</f>
        <v/>
      </c>
      <c r="J82" s="46">
        <f>J81/J60</f>
        <v/>
      </c>
      <c r="K82" s="47">
        <f>K81/K60</f>
        <v/>
      </c>
    </row>
    <row r="84">
      <c r="A84" s="6" t="inlineStr">
        <is>
          <t>DCF DISCOUNTING  (Mid-Year Convention)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8" t="n"/>
    </row>
    <row r="85">
      <c r="A85" s="12" t="inlineStr">
        <is>
          <t>Item</t>
        </is>
      </c>
      <c r="B85" s="18" t="n"/>
      <c r="C85" s="18" t="n"/>
      <c r="D85" s="18" t="n"/>
      <c r="E85" s="10" t="inlineStr">
        <is>
          <t>2026E</t>
        </is>
      </c>
      <c r="F85" s="10" t="inlineStr">
        <is>
          <t>2027E</t>
        </is>
      </c>
      <c r="G85" s="10" t="inlineStr">
        <is>
          <t>2028E</t>
        </is>
      </c>
      <c r="H85" s="10" t="inlineStr">
        <is>
          <t>2029E</t>
        </is>
      </c>
      <c r="I85" s="10" t="inlineStr">
        <is>
          <t>2030E</t>
        </is>
      </c>
      <c r="J85" s="10" t="inlineStr">
        <is>
          <t>2031E</t>
        </is>
      </c>
      <c r="K85" s="28" t="inlineStr">
        <is>
          <t>2032E</t>
        </is>
      </c>
    </row>
    <row r="86">
      <c r="A86" s="12" t="inlineStr">
        <is>
          <t>Discount Period (Mid-Year)</t>
        </is>
      </c>
      <c r="B86" s="18" t="n"/>
      <c r="C86" s="18" t="n"/>
      <c r="D86" s="18" t="n"/>
      <c r="E86" s="48" t="n">
        <v>0.5</v>
      </c>
      <c r="F86" s="48" t="n">
        <v>1.5</v>
      </c>
      <c r="G86" s="48" t="n">
        <v>2.5</v>
      </c>
      <c r="H86" s="48" t="n">
        <v>3.5</v>
      </c>
      <c r="I86" s="48" t="n">
        <v>4.5</v>
      </c>
      <c r="J86" s="48" t="n">
        <v>5.5</v>
      </c>
      <c r="K86" s="49" t="n">
        <v>6.5</v>
      </c>
    </row>
    <row r="87">
      <c r="A87" s="12" t="inlineStr">
        <is>
          <t>Discount Factor</t>
        </is>
      </c>
      <c r="B87" s="18" t="n"/>
      <c r="C87" s="18" t="n"/>
      <c r="D87" s="18" t="n"/>
      <c r="E87" s="50">
        <f>1/(1+E56)^E86</f>
        <v/>
      </c>
      <c r="F87" s="50">
        <f>1/(1+E56)^F86</f>
        <v/>
      </c>
      <c r="G87" s="50">
        <f>1/(1+E56)^G86</f>
        <v/>
      </c>
      <c r="H87" s="50">
        <f>1/(1+E56)^H86</f>
        <v/>
      </c>
      <c r="I87" s="50">
        <f>1/(1+E56)^I86</f>
        <v/>
      </c>
      <c r="J87" s="50">
        <f>1/(1+E56)^J86</f>
        <v/>
      </c>
      <c r="K87" s="51">
        <f>1/(1+E56)^K86</f>
        <v/>
      </c>
    </row>
    <row r="88">
      <c r="A88" s="40" t="inlineStr">
        <is>
          <t>PV of FCF ($M)</t>
        </is>
      </c>
      <c r="B88" s="31" t="n"/>
      <c r="C88" s="31" t="n"/>
      <c r="D88" s="31" t="n"/>
      <c r="E88" s="52">
        <f>E81*E87</f>
        <v/>
      </c>
      <c r="F88" s="52">
        <f>F81*F87</f>
        <v/>
      </c>
      <c r="G88" s="52">
        <f>G81*G87</f>
        <v/>
      </c>
      <c r="H88" s="52">
        <f>H81*H87</f>
        <v/>
      </c>
      <c r="I88" s="52">
        <f>I81*I87</f>
        <v/>
      </c>
      <c r="J88" s="52">
        <f>J81*J87</f>
        <v/>
      </c>
      <c r="K88" s="53">
        <f>K81*K87</f>
        <v/>
      </c>
    </row>
    <row r="90">
      <c r="A90" s="6" t="inlineStr">
        <is>
          <t>TERMINAL VALUE  (Gordon Growth Model)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8" t="n"/>
    </row>
    <row r="91">
      <c r="A91" s="12" t="inlineStr">
        <is>
          <t>Terminal FCF ($M)</t>
        </is>
      </c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35">
        <f>K81*(1+E55)</f>
        <v/>
      </c>
    </row>
    <row r="92">
      <c r="A92" s="12" t="inlineStr">
        <is>
          <t>Terminal Value ($M)</t>
        </is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35">
        <f>L91/(E56-E55)</f>
        <v/>
      </c>
    </row>
    <row r="93">
      <c r="A93" s="40" t="inlineStr">
        <is>
          <t>PV of Terminal Value ($M)</t>
        </is>
      </c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53">
        <f>L92/(1+E56)^7</f>
        <v/>
      </c>
    </row>
    <row r="95">
      <c r="A95" s="6" t="inlineStr">
        <is>
          <t>VALUATION SUMMARY ($M)</t>
        </is>
      </c>
      <c r="B95" s="7" t="n"/>
      <c r="C95" s="7" t="n"/>
      <c r="D95" s="7" t="n"/>
      <c r="E95" s="7" t="n"/>
      <c r="F95" s="8" t="n"/>
    </row>
    <row r="96">
      <c r="A96" s="34" t="inlineStr">
        <is>
          <t>Sum of PV of Projected FCFs ($M)</t>
        </is>
      </c>
      <c r="B96" s="44">
        <f>SUM(E88:K88)</f>
        <v/>
      </c>
      <c r="C96" s="18" t="n"/>
      <c r="D96" s="18" t="n"/>
      <c r="E96" s="18" t="n"/>
      <c r="F96" s="11" t="n"/>
    </row>
    <row r="97">
      <c r="A97" s="34" t="inlineStr">
        <is>
          <t>PV of Terminal Value ($M)</t>
        </is>
      </c>
      <c r="B97" s="44">
        <f>L93</f>
        <v/>
      </c>
      <c r="C97" s="18" t="n"/>
      <c r="D97" s="18" t="n"/>
      <c r="E97" s="18" t="n"/>
      <c r="F97" s="11" t="n"/>
    </row>
    <row r="98">
      <c r="A98" s="34" t="inlineStr">
        <is>
          <t>Enterprise Value ($M)</t>
        </is>
      </c>
      <c r="B98" s="54">
        <f>B96+B97</f>
        <v/>
      </c>
      <c r="C98" s="18" t="n"/>
      <c r="D98" s="18" t="n"/>
      <c r="E98" s="18" t="n"/>
      <c r="F98" s="11" t="n"/>
    </row>
    <row r="99">
      <c r="A99" s="12" t="inlineStr">
        <is>
          <t>(-) Net Debt ($M)</t>
        </is>
      </c>
      <c r="B99" s="17">
        <f>B13</f>
        <v/>
      </c>
      <c r="C99" s="18" t="n"/>
      <c r="D99" s="18" t="n"/>
      <c r="E99" s="18" t="n"/>
      <c r="F99" s="11" t="n"/>
    </row>
    <row r="100">
      <c r="A100" s="34" t="inlineStr">
        <is>
          <t>Equity Value ($M)</t>
        </is>
      </c>
      <c r="B100" s="54">
        <f>B98-B99</f>
        <v/>
      </c>
      <c r="C100" s="18" t="n"/>
      <c r="D100" s="18" t="n"/>
      <c r="E100" s="18" t="n"/>
      <c r="F100" s="11" t="n"/>
    </row>
    <row r="101">
      <c r="A101" s="38" t="n"/>
      <c r="B101" s="18" t="n"/>
      <c r="C101" s="18" t="n"/>
      <c r="D101" s="18" t="n"/>
      <c r="E101" s="18" t="n"/>
      <c r="F101" s="11" t="n"/>
    </row>
    <row r="102">
      <c r="A102" s="12" t="inlineStr">
        <is>
          <t>Shares Outstanding (M)</t>
        </is>
      </c>
      <c r="B102" s="55">
        <f>B11</f>
        <v/>
      </c>
      <c r="C102" s="18" t="n"/>
      <c r="D102" s="18" t="n"/>
      <c r="E102" s="18" t="n"/>
      <c r="F102" s="11" t="n"/>
    </row>
    <row r="103">
      <c r="A103" s="34" t="inlineStr">
        <is>
          <t>IMPLIED PRICE PER SHARE</t>
        </is>
      </c>
      <c r="B103" s="56">
        <f>B100/B102</f>
        <v/>
      </c>
      <c r="C103" s="18" t="n"/>
      <c r="D103" s="18" t="n"/>
      <c r="E103" s="18" t="n"/>
      <c r="F103" s="11" t="n"/>
    </row>
    <row r="104">
      <c r="A104" s="12" t="inlineStr">
        <is>
          <t>Current Stock Price</t>
        </is>
      </c>
      <c r="B104" s="57">
        <f>B10</f>
        <v/>
      </c>
      <c r="C104" s="18" t="n"/>
      <c r="D104" s="18" t="n"/>
      <c r="E104" s="18" t="n"/>
      <c r="F104" s="11" t="n"/>
    </row>
    <row r="105">
      <c r="A105" s="40" t="inlineStr">
        <is>
          <t>Implied Upside / (Downside)</t>
        </is>
      </c>
      <c r="B105" s="58">
        <f>B103/B104-1</f>
        <v/>
      </c>
      <c r="C105" s="31" t="n"/>
      <c r="D105" s="31" t="n"/>
      <c r="E105" s="31" t="n"/>
      <c r="F105" s="23" t="n"/>
    </row>
    <row r="108">
      <c r="A108" s="6" t="inlineStr">
        <is>
          <t>SENSITIVITY TABLE 1: WACC vs Terminal Growth Rate → Implied Share Price ($)</t>
        </is>
      </c>
      <c r="B108" s="7" t="n"/>
      <c r="C108" s="7" t="n"/>
      <c r="D108" s="7" t="n"/>
      <c r="E108" s="7" t="n"/>
      <c r="F108" s="7" t="n"/>
      <c r="G108" s="8" t="n"/>
    </row>
    <row r="109">
      <c r="A109" s="59" t="inlineStr">
        <is>
          <t>WACC ↓  /  Term. g →</t>
        </is>
      </c>
      <c r="B109" s="10" t="inlineStr">
        <is>
          <t>1.0%</t>
        </is>
      </c>
      <c r="C109" s="10" t="inlineStr">
        <is>
          <t>1.5%</t>
        </is>
      </c>
      <c r="D109" s="10" t="inlineStr">
        <is>
          <t>2.5%</t>
        </is>
      </c>
      <c r="E109" s="10" t="inlineStr">
        <is>
          <t>3.0%</t>
        </is>
      </c>
      <c r="F109" s="10" t="inlineStr">
        <is>
          <t>3.5%</t>
        </is>
      </c>
      <c r="G109" s="11" t="n"/>
    </row>
    <row r="110">
      <c r="A110" s="60" t="inlineStr">
        <is>
          <t>6.0%</t>
        </is>
      </c>
      <c r="B110" s="57">
        <f>(E81/(1+0.06)^0.5+F81/(1+0.06)^1.5+G81/(1+0.06)^2.5+H81/(1+0.06)^3.5+I81/(1+0.06)^4.5+J81/(1+0.06)^5.5+K81/(1+0.06)^6.5+(K81*(1+0.01)/(0.06-0.01)/(1+0.06)^7)-B13)/B11</f>
        <v/>
      </c>
      <c r="C110" s="57">
        <f>(E81/(1+0.06)^0.5+F81/(1+0.06)^1.5+G81/(1+0.06)^2.5+H81/(1+0.06)^3.5+I81/(1+0.06)^4.5+J81/(1+0.06)^5.5+K81/(1+0.06)^6.5+(K81*(1+0.015)/(0.06-0.015)/(1+0.06)^7)-B13)/B11</f>
        <v/>
      </c>
      <c r="D110" s="57">
        <f>(E81/(1+0.06)^0.5+F81/(1+0.06)^1.5+G81/(1+0.06)^2.5+H81/(1+0.06)^3.5+I81/(1+0.06)^4.5+J81/(1+0.06)^5.5+K81/(1+0.06)^6.5+(K81*(1+0.025)/(0.06-0.025)/(1+0.06)^7)-B13)/B11</f>
        <v/>
      </c>
      <c r="E110" s="57">
        <f>(E81/(1+0.06)^0.5+F81/(1+0.06)^1.5+G81/(1+0.06)^2.5+H81/(1+0.06)^3.5+I81/(1+0.06)^4.5+J81/(1+0.06)^5.5+K81/(1+0.06)^6.5+(K81*(1+0.03)/(0.06-0.03)/(1+0.06)^7)-B13)/B11</f>
        <v/>
      </c>
      <c r="F110" s="57">
        <f>(E81/(1+0.06)^0.5+F81/(1+0.06)^1.5+G81/(1+0.06)^2.5+H81/(1+0.06)^3.5+I81/(1+0.06)^4.5+J81/(1+0.06)^5.5+K81/(1+0.06)^6.5+(K81*(1+0.035)/(0.06-0.035)/(1+0.06)^7)-B13)/B11</f>
        <v/>
      </c>
      <c r="G110" s="11" t="n"/>
    </row>
    <row r="111">
      <c r="A111" s="60" t="inlineStr">
        <is>
          <t>6.5%</t>
        </is>
      </c>
      <c r="B111" s="57">
        <f>(E81/(1+0.065)^0.5+F81/(1+0.065)^1.5+G81/(1+0.065)^2.5+H81/(1+0.065)^3.5+I81/(1+0.065)^4.5+J81/(1+0.065)^5.5+K81/(1+0.065)^6.5+(K81*(1+0.01)/(0.065-0.01)/(1+0.065)^7)-B13)/B11</f>
        <v/>
      </c>
      <c r="C111" s="57">
        <f>(E81/(1+0.065)^0.5+F81/(1+0.065)^1.5+G81/(1+0.065)^2.5+H81/(1+0.065)^3.5+I81/(1+0.065)^4.5+J81/(1+0.065)^5.5+K81/(1+0.065)^6.5+(K81*(1+0.015)/(0.065-0.015)/(1+0.065)^7)-B13)/B11</f>
        <v/>
      </c>
      <c r="D111" s="57">
        <f>(E81/(1+0.065)^0.5+F81/(1+0.065)^1.5+G81/(1+0.065)^2.5+H81/(1+0.065)^3.5+I81/(1+0.065)^4.5+J81/(1+0.065)^5.5+K81/(1+0.065)^6.5+(K81*(1+0.025)/(0.065-0.025)/(1+0.065)^7)-B13)/B11</f>
        <v/>
      </c>
      <c r="E111" s="57">
        <f>(E81/(1+0.065)^0.5+F81/(1+0.065)^1.5+G81/(1+0.065)^2.5+H81/(1+0.065)^3.5+I81/(1+0.065)^4.5+J81/(1+0.065)^5.5+K81/(1+0.065)^6.5+(K81*(1+0.03)/(0.065-0.03)/(1+0.065)^7)-B13)/B11</f>
        <v/>
      </c>
      <c r="F111" s="57">
        <f>(E81/(1+0.065)^0.5+F81/(1+0.065)^1.5+G81/(1+0.065)^2.5+H81/(1+0.065)^3.5+I81/(1+0.065)^4.5+J81/(1+0.065)^5.5+K81/(1+0.065)^6.5+(K81*(1+0.035)/(0.065-0.035)/(1+0.065)^7)-B13)/B11</f>
        <v/>
      </c>
      <c r="G111" s="11" t="n"/>
    </row>
    <row r="112">
      <c r="A112" s="60" t="inlineStr">
        <is>
          <t>7.2%</t>
        </is>
      </c>
      <c r="B112" s="57">
        <f>(E81/(1+0.072)^0.5+F81/(1+0.072)^1.5+G81/(1+0.072)^2.5+H81/(1+0.072)^3.5+I81/(1+0.072)^4.5+J81/(1+0.072)^5.5+K81/(1+0.072)^6.5+(K81*(1+0.01)/(0.072-0.01)/(1+0.072)^7)-B13)/B11</f>
        <v/>
      </c>
      <c r="C112" s="57">
        <f>(E81/(1+0.072)^0.5+F81/(1+0.072)^1.5+G81/(1+0.072)^2.5+H81/(1+0.072)^3.5+I81/(1+0.072)^4.5+J81/(1+0.072)^5.5+K81/(1+0.072)^6.5+(K81*(1+0.015)/(0.072-0.015)/(1+0.072)^7)-B13)/B11</f>
        <v/>
      </c>
      <c r="D112" s="61">
        <f>(E81/(1+0.072)^0.5+F81/(1+0.072)^1.5+G81/(1+0.072)^2.5+H81/(1+0.072)^3.5+I81/(1+0.072)^4.5+J81/(1+0.072)^5.5+K81/(1+0.072)^6.5+(K81*(1+0.025)/(0.072-0.025)/(1+0.072)^7)-B13)/B11</f>
        <v/>
      </c>
      <c r="E112" s="57">
        <f>(E81/(1+0.072)^0.5+F81/(1+0.072)^1.5+G81/(1+0.072)^2.5+H81/(1+0.072)^3.5+I81/(1+0.072)^4.5+J81/(1+0.072)^5.5+K81/(1+0.072)^6.5+(K81*(1+0.03)/(0.072-0.03)/(1+0.072)^7)-B13)/B11</f>
        <v/>
      </c>
      <c r="F112" s="57">
        <f>(E81/(1+0.072)^0.5+F81/(1+0.072)^1.5+G81/(1+0.072)^2.5+H81/(1+0.072)^3.5+I81/(1+0.072)^4.5+J81/(1+0.072)^5.5+K81/(1+0.072)^6.5+(K81*(1+0.035)/(0.072-0.035)/(1+0.072)^7)-B13)/B11</f>
        <v/>
      </c>
      <c r="G112" s="11" t="n"/>
    </row>
    <row r="113">
      <c r="A113" s="60" t="inlineStr">
        <is>
          <t>7.5%</t>
        </is>
      </c>
      <c r="B113" s="57">
        <f>(E81/(1+0.075)^0.5+F81/(1+0.075)^1.5+G81/(1+0.075)^2.5+H81/(1+0.075)^3.5+I81/(1+0.075)^4.5+J81/(1+0.075)^5.5+K81/(1+0.075)^6.5+(K81*(1+0.01)/(0.075-0.01)/(1+0.075)^7)-B13)/B11</f>
        <v/>
      </c>
      <c r="C113" s="57">
        <f>(E81/(1+0.075)^0.5+F81/(1+0.075)^1.5+G81/(1+0.075)^2.5+H81/(1+0.075)^3.5+I81/(1+0.075)^4.5+J81/(1+0.075)^5.5+K81/(1+0.075)^6.5+(K81*(1+0.015)/(0.075-0.015)/(1+0.075)^7)-B13)/B11</f>
        <v/>
      </c>
      <c r="D113" s="57">
        <f>(E81/(1+0.075)^0.5+F81/(1+0.075)^1.5+G81/(1+0.075)^2.5+H81/(1+0.075)^3.5+I81/(1+0.075)^4.5+J81/(1+0.075)^5.5+K81/(1+0.075)^6.5+(K81*(1+0.025)/(0.075-0.025)/(1+0.075)^7)-B13)/B11</f>
        <v/>
      </c>
      <c r="E113" s="57">
        <f>(E81/(1+0.075)^0.5+F81/(1+0.075)^1.5+G81/(1+0.075)^2.5+H81/(1+0.075)^3.5+I81/(1+0.075)^4.5+J81/(1+0.075)^5.5+K81/(1+0.075)^6.5+(K81*(1+0.03)/(0.075-0.03)/(1+0.075)^7)-B13)/B11</f>
        <v/>
      </c>
      <c r="F113" s="57">
        <f>(E81/(1+0.075)^0.5+F81/(1+0.075)^1.5+G81/(1+0.075)^2.5+H81/(1+0.075)^3.5+I81/(1+0.075)^4.5+J81/(1+0.075)^5.5+K81/(1+0.075)^6.5+(K81*(1+0.035)/(0.075-0.035)/(1+0.075)^7)-B13)/B11</f>
        <v/>
      </c>
      <c r="G113" s="11" t="n"/>
    </row>
    <row r="114">
      <c r="A114" s="62" t="inlineStr">
        <is>
          <t>8.0%</t>
        </is>
      </c>
      <c r="B114" s="63">
        <f>(E81/(1+0.08)^0.5+F81/(1+0.08)^1.5+G81/(1+0.08)^2.5+H81/(1+0.08)^3.5+I81/(1+0.08)^4.5+J81/(1+0.08)^5.5+K81/(1+0.08)^6.5+(K81*(1+0.01)/(0.08-0.01)/(1+0.08)^7)-B13)/B11</f>
        <v/>
      </c>
      <c r="C114" s="63">
        <f>(E81/(1+0.08)^0.5+F81/(1+0.08)^1.5+G81/(1+0.08)^2.5+H81/(1+0.08)^3.5+I81/(1+0.08)^4.5+J81/(1+0.08)^5.5+K81/(1+0.08)^6.5+(K81*(1+0.015)/(0.08-0.015)/(1+0.08)^7)-B13)/B11</f>
        <v/>
      </c>
      <c r="D114" s="63">
        <f>(E81/(1+0.08)^0.5+F81/(1+0.08)^1.5+G81/(1+0.08)^2.5+H81/(1+0.08)^3.5+I81/(1+0.08)^4.5+J81/(1+0.08)^5.5+K81/(1+0.08)^6.5+(K81*(1+0.025)/(0.08-0.025)/(1+0.08)^7)-B13)/B11</f>
        <v/>
      </c>
      <c r="E114" s="63">
        <f>(E81/(1+0.08)^0.5+F81/(1+0.08)^1.5+G81/(1+0.08)^2.5+H81/(1+0.08)^3.5+I81/(1+0.08)^4.5+J81/(1+0.08)^5.5+K81/(1+0.08)^6.5+(K81*(1+0.03)/(0.08-0.03)/(1+0.08)^7)-B13)/B11</f>
        <v/>
      </c>
      <c r="F114" s="63">
        <f>(E81/(1+0.08)^0.5+F81/(1+0.08)^1.5+G81/(1+0.08)^2.5+H81/(1+0.08)^3.5+I81/(1+0.08)^4.5+J81/(1+0.08)^5.5+K81/(1+0.08)^6.5+(K81*(1+0.035)/(0.08-0.035)/(1+0.08)^7)-B13)/B11</f>
        <v/>
      </c>
      <c r="G114" s="23" t="n"/>
    </row>
    <row r="117">
      <c r="A117" s="6" t="inlineStr">
        <is>
          <t>SENSITIVITY TABLE 2: 2026E Revenue Growth vs EBIT Margin → Implied Share Price ($)</t>
        </is>
      </c>
      <c r="B117" s="7" t="n"/>
      <c r="C117" s="7" t="n"/>
      <c r="D117" s="7" t="n"/>
      <c r="E117" s="7" t="n"/>
      <c r="F117" s="7" t="n"/>
      <c r="G117" s="8" t="n"/>
    </row>
    <row r="118">
      <c r="A118" s="59" t="inlineStr">
        <is>
          <t>RevGrow ↓  /  EBIT Mgn →</t>
        </is>
      </c>
      <c r="B118" s="10" t="inlineStr">
        <is>
          <t>14%</t>
        </is>
      </c>
      <c r="C118" s="10" t="inlineStr">
        <is>
          <t>17%</t>
        </is>
      </c>
      <c r="D118" s="10" t="inlineStr">
        <is>
          <t>20%</t>
        </is>
      </c>
      <c r="E118" s="10" t="inlineStr">
        <is>
          <t>23%</t>
        </is>
      </c>
      <c r="F118" s="10" t="inlineStr">
        <is>
          <t>26%</t>
        </is>
      </c>
      <c r="G118" s="11" t="n"/>
    </row>
    <row r="119">
      <c r="A119" s="60" t="inlineStr">
        <is>
          <t>0.0%</t>
        </is>
      </c>
      <c r="B119" s="57">
        <f>(42.1486/(1+0.072)^0.5+F81/(1+0.072)^1.5+G81/(1+0.072)^2.5+H81/(1+0.072)^3.5+I81/(1+0.072)^4.5+J81/(1+0.072)^5.5+K81/(1+0.072)^6.5+(K81*(1+0.025)/(0.072-0.025)/(1+0.072)^7)-B13)/B11</f>
        <v/>
      </c>
      <c r="C119" s="57">
        <f>(45.5026/(1+0.072)^0.5+F81/(1+0.072)^1.5+G81/(1+0.072)^2.5+H81/(1+0.072)^3.5+I81/(1+0.072)^4.5+J81/(1+0.072)^5.5+K81/(1+0.072)^6.5+(K81*(1+0.025)/(0.072-0.025)/(1+0.072)^7)-B13)/B11</f>
        <v/>
      </c>
      <c r="D119" s="57">
        <f>(48.8566/(1+0.072)^0.5+F81/(1+0.072)^1.5+G81/(1+0.072)^2.5+H81/(1+0.072)^3.5+I81/(1+0.072)^4.5+J81/(1+0.072)^5.5+K81/(1+0.072)^6.5+(K81*(1+0.025)/(0.072-0.025)/(1+0.072)^7)-B13)/B11</f>
        <v/>
      </c>
      <c r="E119" s="57">
        <f>(52.2106/(1+0.072)^0.5+F81/(1+0.072)^1.5+G81/(1+0.072)^2.5+H81/(1+0.072)^3.5+I81/(1+0.072)^4.5+J81/(1+0.072)^5.5+K81/(1+0.072)^6.5+(K81*(1+0.025)/(0.072-0.025)/(1+0.072)^7)-B13)/B11</f>
        <v/>
      </c>
      <c r="F119" s="57">
        <f>(55.5646/(1+0.072)^0.5+F81/(1+0.072)^1.5+G81/(1+0.072)^2.5+H81/(1+0.072)^3.5+I81/(1+0.072)^4.5+J81/(1+0.072)^5.5+K81/(1+0.072)^6.5+(K81*(1+0.025)/(0.072-0.025)/(1+0.072)^7)-B13)/B11</f>
        <v/>
      </c>
      <c r="G119" s="11" t="n"/>
    </row>
    <row r="120">
      <c r="A120" s="60" t="inlineStr">
        <is>
          <t>1.5%</t>
        </is>
      </c>
      <c r="B120" s="57">
        <f>(42.7641/(1+0.072)^0.5+F81/(1+0.072)^1.5+G81/(1+0.072)^2.5+H81/(1+0.072)^3.5+I81/(1+0.072)^4.5+J81/(1+0.072)^5.5+K81/(1+0.072)^6.5+(K81*(1+0.025)/(0.072-0.025)/(1+0.072)^7)-B13)/B11</f>
        <v/>
      </c>
      <c r="C120" s="57">
        <f>(46.1684/(1+0.072)^0.5+F81/(1+0.072)^1.5+G81/(1+0.072)^2.5+H81/(1+0.072)^3.5+I81/(1+0.072)^4.5+J81/(1+0.072)^5.5+K81/(1+0.072)^6.5+(K81*(1+0.025)/(0.072-0.025)/(1+0.072)^7)-B13)/B11</f>
        <v/>
      </c>
      <c r="D120" s="57">
        <f>(49.5727/(1+0.072)^0.5+F81/(1+0.072)^1.5+G81/(1+0.072)^2.5+H81/(1+0.072)^3.5+I81/(1+0.072)^4.5+J81/(1+0.072)^5.5+K81/(1+0.072)^6.5+(K81*(1+0.025)/(0.072-0.025)/(1+0.072)^7)-B13)/B11</f>
        <v/>
      </c>
      <c r="E120" s="57">
        <f>(52.9770/(1+0.072)^0.5+F81/(1+0.072)^1.5+G81/(1+0.072)^2.5+H81/(1+0.072)^3.5+I81/(1+0.072)^4.5+J81/(1+0.072)^5.5+K81/(1+0.072)^6.5+(K81*(1+0.025)/(0.072-0.025)/(1+0.072)^7)-B13)/B11</f>
        <v/>
      </c>
      <c r="F120" s="57">
        <f>(56.3813/(1+0.072)^0.5+F81/(1+0.072)^1.5+G81/(1+0.072)^2.5+H81/(1+0.072)^3.5+I81/(1+0.072)^4.5+J81/(1+0.072)^5.5+K81/(1+0.072)^6.5+(K81*(1+0.025)/(0.072-0.025)/(1+0.072)^7)-B13)/B11</f>
        <v/>
      </c>
      <c r="G120" s="11" t="n"/>
    </row>
    <row r="121">
      <c r="A121" s="60" t="inlineStr">
        <is>
          <t>3.0%</t>
        </is>
      </c>
      <c r="B121" s="57">
        <f>(43.3795/(1+0.072)^0.5+F81/(1+0.072)^1.5+G81/(1+0.072)^2.5+H81/(1+0.072)^3.5+I81/(1+0.072)^4.5+J81/(1+0.072)^5.5+K81/(1+0.072)^6.5+(K81*(1+0.025)/(0.072-0.025)/(1+0.072)^7)-B13)/B11</f>
        <v/>
      </c>
      <c r="C121" s="57">
        <f>(46.8341/(1+0.072)^0.5+F81/(1+0.072)^1.5+G81/(1+0.072)^2.5+H81/(1+0.072)^3.5+I81/(1+0.072)^4.5+J81/(1+0.072)^5.5+K81/(1+0.072)^6.5+(K81*(1+0.025)/(0.072-0.025)/(1+0.072)^7)-B13)/B11</f>
        <v/>
      </c>
      <c r="D121" s="61">
        <f>(50.2888/(1+0.072)^0.5+F81/(1+0.072)^1.5+G81/(1+0.072)^2.5+H81/(1+0.072)^3.5+I81/(1+0.072)^4.5+J81/(1+0.072)^5.5+K81/(1+0.072)^6.5+(K81*(1+0.025)/(0.072-0.025)/(1+0.072)^7)-B13)/B11</f>
        <v/>
      </c>
      <c r="E121" s="57">
        <f>(53.7434/(1+0.072)^0.5+F81/(1+0.072)^1.5+G81/(1+0.072)^2.5+H81/(1+0.072)^3.5+I81/(1+0.072)^4.5+J81/(1+0.072)^5.5+K81/(1+0.072)^6.5+(K81*(1+0.025)/(0.072-0.025)/(1+0.072)^7)-B13)/B11</f>
        <v/>
      </c>
      <c r="F121" s="57">
        <f>(57.1980/(1+0.072)^0.5+F81/(1+0.072)^1.5+G81/(1+0.072)^2.5+H81/(1+0.072)^3.5+I81/(1+0.072)^4.5+J81/(1+0.072)^5.5+K81/(1+0.072)^6.5+(K81*(1+0.025)/(0.072-0.025)/(1+0.072)^7)-B13)/B11</f>
        <v/>
      </c>
      <c r="G121" s="11" t="n"/>
    </row>
    <row r="122">
      <c r="A122" s="60" t="inlineStr">
        <is>
          <t>4.5%</t>
        </is>
      </c>
      <c r="B122" s="57">
        <f>(43.9950/(1+0.072)^0.5+F81/(1+0.072)^1.5+G81/(1+0.072)^2.5+H81/(1+0.072)^3.5+I81/(1+0.072)^4.5+J81/(1+0.072)^5.5+K81/(1+0.072)^6.5+(K81*(1+0.025)/(0.072-0.025)/(1+0.072)^7)-B13)/B11</f>
        <v/>
      </c>
      <c r="C122" s="57">
        <f>(47.4999/(1+0.072)^0.5+F81/(1+0.072)^1.5+G81/(1+0.072)^2.5+H81/(1+0.072)^3.5+I81/(1+0.072)^4.5+J81/(1+0.072)^5.5+K81/(1+0.072)^6.5+(K81*(1+0.025)/(0.072-0.025)/(1+0.072)^7)-B13)/B11</f>
        <v/>
      </c>
      <c r="D122" s="57">
        <f>(51.0048/(1+0.072)^0.5+F81/(1+0.072)^1.5+G81/(1+0.072)^2.5+H81/(1+0.072)^3.5+I81/(1+0.072)^4.5+J81/(1+0.072)^5.5+K81/(1+0.072)^6.5+(K81*(1+0.025)/(0.072-0.025)/(1+0.072)^7)-B13)/B11</f>
        <v/>
      </c>
      <c r="E122" s="57">
        <f>(54.5098/(1+0.072)^0.5+F81/(1+0.072)^1.5+G81/(1+0.072)^2.5+H81/(1+0.072)^3.5+I81/(1+0.072)^4.5+J81/(1+0.072)^5.5+K81/(1+0.072)^6.5+(K81*(1+0.025)/(0.072-0.025)/(1+0.072)^7)-B13)/B11</f>
        <v/>
      </c>
      <c r="F122" s="57">
        <f>(58.0147/(1+0.072)^0.5+F81/(1+0.072)^1.5+G81/(1+0.072)^2.5+H81/(1+0.072)^3.5+I81/(1+0.072)^4.5+J81/(1+0.072)^5.5+K81/(1+0.072)^6.5+(K81*(1+0.025)/(0.072-0.025)/(1+0.072)^7)-B13)/B11</f>
        <v/>
      </c>
      <c r="G122" s="11" t="n"/>
    </row>
    <row r="123">
      <c r="A123" s="62" t="inlineStr">
        <is>
          <t>6.0%</t>
        </is>
      </c>
      <c r="B123" s="63">
        <f>(44.6104/(1+0.072)^0.5+F81/(1+0.072)^1.5+G81/(1+0.072)^2.5+H81/(1+0.072)^3.5+I81/(1+0.072)^4.5+J81/(1+0.072)^5.5+K81/(1+0.072)^6.5+(K81*(1+0.025)/(0.072-0.025)/(1+0.072)^7)-B13)/B11</f>
        <v/>
      </c>
      <c r="C123" s="63">
        <f>(48.1657/(1+0.072)^0.5+F81/(1+0.072)^1.5+G81/(1+0.072)^2.5+H81/(1+0.072)^3.5+I81/(1+0.072)^4.5+J81/(1+0.072)^5.5+K81/(1+0.072)^6.5+(K81*(1+0.025)/(0.072-0.025)/(1+0.072)^7)-B13)/B11</f>
        <v/>
      </c>
      <c r="D123" s="63">
        <f>(51.7209/(1+0.072)^0.5+F81/(1+0.072)^1.5+G81/(1+0.072)^2.5+H81/(1+0.072)^3.5+I81/(1+0.072)^4.5+J81/(1+0.072)^5.5+K81/(1+0.072)^6.5+(K81*(1+0.025)/(0.072-0.025)/(1+0.072)^7)-B13)/B11</f>
        <v/>
      </c>
      <c r="E123" s="63">
        <f>(55.2762/(1+0.072)^0.5+F81/(1+0.072)^1.5+G81/(1+0.072)^2.5+H81/(1+0.072)^3.5+I81/(1+0.072)^4.5+J81/(1+0.072)^5.5+K81/(1+0.072)^6.5+(K81*(1+0.025)/(0.072-0.025)/(1+0.072)^7)-B13)/B11</f>
        <v/>
      </c>
      <c r="F123" s="63">
        <f>(58.8314/(1+0.072)^0.5+F81/(1+0.072)^1.5+G81/(1+0.072)^2.5+H81/(1+0.072)^3.5+I81/(1+0.072)^4.5+J81/(1+0.072)^5.5+K81/(1+0.072)^6.5+(K81*(1+0.025)/(0.072-0.025)/(1+0.072)^7)-B13)/B11</f>
        <v/>
      </c>
      <c r="G123" s="23" t="n"/>
    </row>
    <row r="126">
      <c r="A126" s="6" t="inlineStr">
        <is>
          <t>SENSITIVITY TABLE 3: Beta vs Risk-Free Rate → Implied Share Price ($)</t>
        </is>
      </c>
      <c r="B126" s="7" t="n"/>
      <c r="C126" s="7" t="n"/>
      <c r="D126" s="7" t="n"/>
      <c r="E126" s="7" t="n"/>
      <c r="F126" s="7" t="n"/>
      <c r="G126" s="8" t="n"/>
    </row>
    <row r="127">
      <c r="A127" s="59" t="inlineStr">
        <is>
          <t>Beta ↓  /  Rf →</t>
        </is>
      </c>
      <c r="B127" s="10" t="inlineStr">
        <is>
          <t>3.80%</t>
        </is>
      </c>
      <c r="C127" s="10" t="inlineStr">
        <is>
          <t>4.30%</t>
        </is>
      </c>
      <c r="D127" s="10" t="inlineStr">
        <is>
          <t>4.68%</t>
        </is>
      </c>
      <c r="E127" s="10" t="inlineStr">
        <is>
          <t>5.30%</t>
        </is>
      </c>
      <c r="F127" s="10" t="inlineStr">
        <is>
          <t>5.80%</t>
        </is>
      </c>
      <c r="G127" s="11" t="n"/>
    </row>
    <row r="128">
      <c r="A128" s="60" t="inlineStr">
        <is>
          <t>0.80</t>
        </is>
      </c>
      <c r="B128" s="57">
        <f>(E81/(1+0.067250)^0.5+F81/(1+0.067250)^1.5+G81/(1+0.067250)^2.5+H81/(1+0.067250)^3.5+I81/(1+0.067250)^4.5+J81/(1+0.067250)^5.5+K81/(1+0.067250)^6.5+(K81*(1+0.025)/(0.067250-0.025)/(1+0.067250)^7)-B13)/B11</f>
        <v/>
      </c>
      <c r="C128" s="57">
        <f>(E81/(1+0.068000)^0.5+F81/(1+0.068000)^1.5+G81/(1+0.068000)^2.5+H81/(1+0.068000)^3.5+I81/(1+0.068000)^4.5+J81/(1+0.068000)^5.5+K81/(1+0.068000)^6.5+(K81*(1+0.025)/(0.068000-0.025)/(1+0.068000)^7)-B13)/B11</f>
        <v/>
      </c>
      <c r="D128" s="57">
        <f>(E81/(1+0.068570)^0.5+F81/(1+0.068570)^1.5+G81/(1+0.068570)^2.5+H81/(1+0.068570)^3.5+I81/(1+0.068570)^4.5+J81/(1+0.068570)^5.5+K81/(1+0.068570)^6.5+(K81*(1+0.025)/(0.068570-0.025)/(1+0.068570)^7)-B13)/B11</f>
        <v/>
      </c>
      <c r="E128" s="57">
        <f>(E81/(1+0.069500)^0.5+F81/(1+0.069500)^1.5+G81/(1+0.069500)^2.5+H81/(1+0.069500)^3.5+I81/(1+0.069500)^4.5+J81/(1+0.069500)^5.5+K81/(1+0.069500)^6.5+(K81*(1+0.025)/(0.069500-0.025)/(1+0.069500)^7)-B13)/B11</f>
        <v/>
      </c>
      <c r="F128" s="57">
        <f>(E81/(1+0.070250)^0.5+F81/(1+0.070250)^1.5+G81/(1+0.070250)^2.5+H81/(1+0.070250)^3.5+I81/(1+0.070250)^4.5+J81/(1+0.070250)^5.5+K81/(1+0.070250)^6.5+(K81*(1+0.025)/(0.070250-0.025)/(1+0.070250)^7)-B13)/B11</f>
        <v/>
      </c>
      <c r="G128" s="11" t="n"/>
    </row>
    <row r="129">
      <c r="A129" s="60" t="inlineStr">
        <is>
          <t>1.00</t>
        </is>
      </c>
      <c r="B129" s="57">
        <f>(E81/(1+0.068900)^0.5+F81/(1+0.068900)^1.5+G81/(1+0.068900)^2.5+H81/(1+0.068900)^3.5+I81/(1+0.068900)^4.5+J81/(1+0.068900)^5.5+K81/(1+0.068900)^6.5+(K81*(1+0.025)/(0.068900-0.025)/(1+0.068900)^7)-B13)/B11</f>
        <v/>
      </c>
      <c r="C129" s="57">
        <f>(E81/(1+0.069650)^0.5+F81/(1+0.069650)^1.5+G81/(1+0.069650)^2.5+H81/(1+0.069650)^3.5+I81/(1+0.069650)^4.5+J81/(1+0.069650)^5.5+K81/(1+0.069650)^6.5+(K81*(1+0.025)/(0.069650-0.025)/(1+0.069650)^7)-B13)/B11</f>
        <v/>
      </c>
      <c r="D129" s="57">
        <f>(E81/(1+0.070220)^0.5+F81/(1+0.070220)^1.5+G81/(1+0.070220)^2.5+H81/(1+0.070220)^3.5+I81/(1+0.070220)^4.5+J81/(1+0.070220)^5.5+K81/(1+0.070220)^6.5+(K81*(1+0.025)/(0.070220-0.025)/(1+0.070220)^7)-B13)/B11</f>
        <v/>
      </c>
      <c r="E129" s="57">
        <f>(E81/(1+0.071150)^0.5+F81/(1+0.071150)^1.5+G81/(1+0.071150)^2.5+H81/(1+0.071150)^3.5+I81/(1+0.071150)^4.5+J81/(1+0.071150)^5.5+K81/(1+0.071150)^6.5+(K81*(1+0.025)/(0.071150-0.025)/(1+0.071150)^7)-B13)/B11</f>
        <v/>
      </c>
      <c r="F129" s="57">
        <f>(E81/(1+0.071900)^0.5+F81/(1+0.071900)^1.5+G81/(1+0.071900)^2.5+H81/(1+0.071900)^3.5+I81/(1+0.071900)^4.5+J81/(1+0.071900)^5.5+K81/(1+0.071900)^6.5+(K81*(1+0.025)/(0.071900-0.025)/(1+0.071900)^7)-B13)/B11</f>
        <v/>
      </c>
      <c r="G129" s="11" t="n"/>
    </row>
    <row r="130">
      <c r="A130" s="60" t="inlineStr">
        <is>
          <t>1.20</t>
        </is>
      </c>
      <c r="B130" s="57">
        <f>(E81/(1+0.070550)^0.5+F81/(1+0.070550)^1.5+G81/(1+0.070550)^2.5+H81/(1+0.070550)^3.5+I81/(1+0.070550)^4.5+J81/(1+0.070550)^5.5+K81/(1+0.070550)^6.5+(K81*(1+0.025)/(0.070550-0.025)/(1+0.070550)^7)-B13)/B11</f>
        <v/>
      </c>
      <c r="C130" s="57">
        <f>(E81/(1+0.071300)^0.5+F81/(1+0.071300)^1.5+G81/(1+0.071300)^2.5+H81/(1+0.071300)^3.5+I81/(1+0.071300)^4.5+J81/(1+0.071300)^5.5+K81/(1+0.071300)^6.5+(K81*(1+0.025)/(0.071300-0.025)/(1+0.071300)^7)-B13)/B11</f>
        <v/>
      </c>
      <c r="D130" s="61">
        <f>(E81/(1+0.071870)^0.5+F81/(1+0.071870)^1.5+G81/(1+0.071870)^2.5+H81/(1+0.071870)^3.5+I81/(1+0.071870)^4.5+J81/(1+0.071870)^5.5+K81/(1+0.071870)^6.5+(K81*(1+0.025)/(0.071870-0.025)/(1+0.071870)^7)-B13)/B11</f>
        <v/>
      </c>
      <c r="E130" s="57">
        <f>(E81/(1+0.072800)^0.5+F81/(1+0.072800)^1.5+G81/(1+0.072800)^2.5+H81/(1+0.072800)^3.5+I81/(1+0.072800)^4.5+J81/(1+0.072800)^5.5+K81/(1+0.072800)^6.5+(K81*(1+0.025)/(0.072800-0.025)/(1+0.072800)^7)-B13)/B11</f>
        <v/>
      </c>
      <c r="F130" s="57">
        <f>(E81/(1+0.073550)^0.5+F81/(1+0.073550)^1.5+G81/(1+0.073550)^2.5+H81/(1+0.073550)^3.5+I81/(1+0.073550)^4.5+J81/(1+0.073550)^5.5+K81/(1+0.073550)^6.5+(K81*(1+0.025)/(0.073550-0.025)/(1+0.073550)^7)-B13)/B11</f>
        <v/>
      </c>
      <c r="G130" s="11" t="n"/>
    </row>
    <row r="131">
      <c r="A131" s="60" t="inlineStr">
        <is>
          <t>1.40</t>
        </is>
      </c>
      <c r="B131" s="57">
        <f>(E81/(1+0.072200)^0.5+F81/(1+0.072200)^1.5+G81/(1+0.072200)^2.5+H81/(1+0.072200)^3.5+I81/(1+0.072200)^4.5+J81/(1+0.072200)^5.5+K81/(1+0.072200)^6.5+(K81*(1+0.025)/(0.072200-0.025)/(1+0.072200)^7)-B13)/B11</f>
        <v/>
      </c>
      <c r="C131" s="57">
        <f>(E81/(1+0.072950)^0.5+F81/(1+0.072950)^1.5+G81/(1+0.072950)^2.5+H81/(1+0.072950)^3.5+I81/(1+0.072950)^4.5+J81/(1+0.072950)^5.5+K81/(1+0.072950)^6.5+(K81*(1+0.025)/(0.072950-0.025)/(1+0.072950)^7)-B13)/B11</f>
        <v/>
      </c>
      <c r="D131" s="57">
        <f>(E81/(1+0.073520)^0.5+F81/(1+0.073520)^1.5+G81/(1+0.073520)^2.5+H81/(1+0.073520)^3.5+I81/(1+0.073520)^4.5+J81/(1+0.073520)^5.5+K81/(1+0.073520)^6.5+(K81*(1+0.025)/(0.073520-0.025)/(1+0.073520)^7)-B13)/B11</f>
        <v/>
      </c>
      <c r="E131" s="57">
        <f>(E81/(1+0.074450)^0.5+F81/(1+0.074450)^1.5+G81/(1+0.074450)^2.5+H81/(1+0.074450)^3.5+I81/(1+0.074450)^4.5+J81/(1+0.074450)^5.5+K81/(1+0.074450)^6.5+(K81*(1+0.025)/(0.074450-0.025)/(1+0.074450)^7)-B13)/B11</f>
        <v/>
      </c>
      <c r="F131" s="57">
        <f>(E81/(1+0.075200)^0.5+F81/(1+0.075200)^1.5+G81/(1+0.075200)^2.5+H81/(1+0.075200)^3.5+I81/(1+0.075200)^4.5+J81/(1+0.075200)^5.5+K81/(1+0.075200)^6.5+(K81*(1+0.025)/(0.075200-0.025)/(1+0.075200)^7)-B13)/B11</f>
        <v/>
      </c>
      <c r="G131" s="11" t="n"/>
    </row>
    <row r="132">
      <c r="A132" s="62" t="inlineStr">
        <is>
          <t>1.60</t>
        </is>
      </c>
      <c r="B132" s="63">
        <f>(E81/(1+0.073850)^0.5+F81/(1+0.073850)^1.5+G81/(1+0.073850)^2.5+H81/(1+0.073850)^3.5+I81/(1+0.073850)^4.5+J81/(1+0.073850)^5.5+K81/(1+0.073850)^6.5+(K81*(1+0.025)/(0.073850-0.025)/(1+0.073850)^7)-B13)/B11</f>
        <v/>
      </c>
      <c r="C132" s="63">
        <f>(E81/(1+0.074600)^0.5+F81/(1+0.074600)^1.5+G81/(1+0.074600)^2.5+H81/(1+0.074600)^3.5+I81/(1+0.074600)^4.5+J81/(1+0.074600)^5.5+K81/(1+0.074600)^6.5+(K81*(1+0.025)/(0.074600-0.025)/(1+0.074600)^7)-B13)/B11</f>
        <v/>
      </c>
      <c r="D132" s="63">
        <f>(E81/(1+0.075170)^0.5+F81/(1+0.075170)^1.5+G81/(1+0.075170)^2.5+H81/(1+0.075170)^3.5+I81/(1+0.075170)^4.5+J81/(1+0.075170)^5.5+K81/(1+0.075170)^6.5+(K81*(1+0.025)/(0.075170-0.025)/(1+0.075170)^7)-B13)/B11</f>
        <v/>
      </c>
      <c r="E132" s="63">
        <f>(E81/(1+0.076100)^0.5+F81/(1+0.076100)^1.5+G81/(1+0.076100)^2.5+H81/(1+0.076100)^3.5+I81/(1+0.076100)^4.5+J81/(1+0.076100)^5.5+K81/(1+0.076100)^6.5+(K81*(1+0.025)/(0.076100-0.025)/(1+0.076100)^7)-B13)/B11</f>
        <v/>
      </c>
      <c r="F132" s="63">
        <f>(E81/(1+0.076850)^0.5+F81/(1+0.076850)^1.5+G81/(1+0.076850)^2.5+H81/(1+0.076850)^3.5+I81/(1+0.076850)^4.5+J81/(1+0.076850)^5.5+K81/(1+0.076850)^6.5+(K81*(1+0.025)/(0.076850-0.025)/(1+0.076850)^7)-B13)/B11</f>
        <v/>
      </c>
      <c r="G132" s="23" t="n"/>
    </row>
  </sheetData>
  <mergeCells count="17">
    <mergeCell ref="A58:K58"/>
    <mergeCell ref="A37:K37"/>
    <mergeCell ref="A126:G126"/>
    <mergeCell ref="A15:K15"/>
    <mergeCell ref="A2:K2"/>
    <mergeCell ref="A1:K1"/>
    <mergeCell ref="A71:K71"/>
    <mergeCell ref="A47:K47"/>
    <mergeCell ref="A84:K84"/>
    <mergeCell ref="A8:E8"/>
    <mergeCell ref="A90:K90"/>
    <mergeCell ref="A117:G117"/>
    <mergeCell ref="A108:G108"/>
    <mergeCell ref="B6:D6"/>
    <mergeCell ref="A17:K17"/>
    <mergeCell ref="A27:K27"/>
    <mergeCell ref="A95:F9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64" t="inlineStr">
        <is>
          <t>SPRU – Weighted Average Cost of Capital (WACC)</t>
        </is>
      </c>
    </row>
    <row r="2">
      <c r="A2" s="2" t="inlineStr">
        <is>
          <t>Spruce Power Holding Corporation  |  As of 2026-08-17  |  All $ in millions</t>
        </is>
      </c>
    </row>
    <row r="4" ht="15" customHeight="1">
      <c r="A4" s="3" t="inlineStr">
        <is>
          <t>Input / Calculation</t>
        </is>
      </c>
      <c r="C4" s="26" t="inlineStr">
        <is>
          <t>Bear</t>
        </is>
      </c>
      <c r="D4" s="26" t="inlineStr">
        <is>
          <t>Base</t>
        </is>
      </c>
      <c r="E4" s="26" t="inlineStr">
        <is>
          <t>Bull</t>
        </is>
      </c>
    </row>
    <row r="5">
      <c r="A5" s="24" t="inlineStr">
        <is>
          <t>COST OF EQUITY</t>
        </is>
      </c>
    </row>
    <row r="6">
      <c r="A6" s="25" t="inlineStr">
        <is>
          <t>Risk-Free Rate (10Y Treasury)</t>
        </is>
      </c>
      <c r="C6" s="65" t="n">
        <v>0.0468</v>
      </c>
      <c r="D6" s="65" t="n">
        <v>0.0468</v>
      </c>
      <c r="E6" s="65" t="n">
        <v>0.0468</v>
      </c>
    </row>
    <row r="7">
      <c r="A7" s="25" t="inlineStr">
        <is>
          <t>Beta (5-Year Monthly)</t>
        </is>
      </c>
      <c r="C7" s="65" t="n">
        <v>1.2</v>
      </c>
      <c r="D7" s="65" t="n">
        <v>1.2</v>
      </c>
      <c r="E7" s="65" t="n">
        <v>1.2</v>
      </c>
    </row>
    <row r="8">
      <c r="A8" s="25" t="inlineStr">
        <is>
          <t>Equity Risk Premium (ERP)</t>
        </is>
      </c>
      <c r="C8" s="65" t="n">
        <v>0.055</v>
      </c>
      <c r="D8" s="65" t="n">
        <v>0.055</v>
      </c>
      <c r="E8" s="65" t="n">
        <v>0.055</v>
      </c>
    </row>
    <row r="9">
      <c r="A9" s="25" t="inlineStr">
        <is>
          <t>Company-Specific Risk Premium (CSRP)</t>
        </is>
      </c>
      <c r="C9" s="65" t="n">
        <v>0.02</v>
      </c>
      <c r="D9" s="65" t="n">
        <v>0.015</v>
      </c>
      <c r="E9" s="65" t="n">
        <v>0.01</v>
      </c>
    </row>
    <row r="10">
      <c r="A10" s="66" t="inlineStr">
        <is>
          <t>Cost of Equity (Ke)</t>
        </is>
      </c>
      <c r="C10" s="67">
        <f>C6+C7*C8+C9</f>
        <v/>
      </c>
      <c r="D10" s="67">
        <f>D6+D7*D8+D9</f>
        <v/>
      </c>
      <c r="E10" s="67">
        <f>E6+E7*E8+E9</f>
        <v/>
      </c>
    </row>
    <row r="12">
      <c r="A12" s="24" t="inlineStr">
        <is>
          <t>COST OF DEBT</t>
        </is>
      </c>
    </row>
    <row r="13">
      <c r="A13" s="25" t="inlineStr">
        <is>
          <t>Pre-Tax Cost of Debt (Kd)</t>
        </is>
      </c>
      <c r="C13" s="65" t="n">
        <v>0.065</v>
      </c>
      <c r="D13" s="65" t="n">
        <v>0.062</v>
      </c>
      <c r="E13" s="65" t="n">
        <v>0.058</v>
      </c>
    </row>
    <row r="14">
      <c r="A14" s="25" t="inlineStr">
        <is>
          <t>Effective Tax Rate</t>
        </is>
      </c>
      <c r="C14" s="65" t="n">
        <v>0</v>
      </c>
      <c r="D14" s="65" t="n">
        <v>0</v>
      </c>
      <c r="E14" s="65" t="n">
        <v>0</v>
      </c>
    </row>
    <row r="15">
      <c r="A15" s="66" t="inlineStr">
        <is>
          <t>After-Tax Cost of Debt</t>
        </is>
      </c>
      <c r="C15" s="67">
        <f>C13*(1-C14)</f>
        <v/>
      </c>
      <c r="D15" s="67">
        <f>D13*(1-D14)</f>
        <v/>
      </c>
      <c r="E15" s="67">
        <f>E13*(1-E14)</f>
        <v/>
      </c>
    </row>
    <row r="17">
      <c r="A17" s="24" t="inlineStr">
        <is>
          <t>CAPITAL STRUCTURE (Normalised)</t>
        </is>
      </c>
    </row>
    <row r="18">
      <c r="A18" s="25" t="inlineStr">
        <is>
          <t>Total Debt ($M)</t>
        </is>
      </c>
      <c r="C18" s="68" t="n">
        <v>679.5</v>
      </c>
      <c r="D18" s="68" t="n">
        <v>679.5</v>
      </c>
      <c r="E18" s="68" t="n">
        <v>679.5</v>
      </c>
    </row>
    <row r="19">
      <c r="A19" s="25" t="inlineStr">
        <is>
          <t>Cash &amp; Equivalents incl. Restricted ($M)</t>
        </is>
      </c>
      <c r="C19" s="68" t="n">
        <v>81.5</v>
      </c>
      <c r="D19" s="68" t="n">
        <v>81.5</v>
      </c>
      <c r="E19" s="68" t="n">
        <v>81.5</v>
      </c>
    </row>
    <row r="20">
      <c r="A20" s="66" t="inlineStr">
        <is>
          <t>Net Debt ($M)</t>
        </is>
      </c>
      <c r="C20" s="69">
        <f>C18-C19</f>
        <v/>
      </c>
      <c r="D20" s="69">
        <f>D18-D19</f>
        <v/>
      </c>
      <c r="E20" s="69">
        <f>E18-E19</f>
        <v/>
      </c>
    </row>
    <row r="21">
      <c r="A21" s="25" t="inlineStr">
        <is>
          <t>Equity Weight (E/EV) – Normalised</t>
        </is>
      </c>
      <c r="C21" s="65" t="n">
        <v>0.1</v>
      </c>
      <c r="D21" s="65" t="n">
        <v>0.15</v>
      </c>
      <c r="E21" s="65" t="n">
        <v>0.2</v>
      </c>
    </row>
    <row r="22">
      <c r="A22" s="25" t="inlineStr">
        <is>
          <t>Debt Weight (D/EV) – Normalised</t>
        </is>
      </c>
      <c r="C22" s="70">
        <f>1-C21</f>
        <v/>
      </c>
      <c r="D22" s="70">
        <f>1-D21</f>
        <v/>
      </c>
      <c r="E22" s="70">
        <f>1-E21</f>
        <v/>
      </c>
    </row>
    <row r="24">
      <c r="A24" s="6" t="inlineStr">
        <is>
          <t>WACC CALCULATION</t>
        </is>
      </c>
      <c r="B24" s="7" t="n"/>
      <c r="C24" s="7" t="n"/>
      <c r="D24" s="7" t="n"/>
      <c r="E24" s="8" t="n"/>
    </row>
    <row r="25">
      <c r="A25" s="12" t="inlineStr">
        <is>
          <t xml:space="preserve">  Ke × E/EV</t>
        </is>
      </c>
      <c r="B25" s="18" t="n"/>
      <c r="C25" s="71">
        <f>C10*C21</f>
        <v/>
      </c>
      <c r="D25" s="71">
        <f>D10*D21</f>
        <v/>
      </c>
      <c r="E25" s="72">
        <f>E10*E21</f>
        <v/>
      </c>
    </row>
    <row r="26">
      <c r="A26" s="12" t="inlineStr">
        <is>
          <t xml:space="preserve">  Kd(1-T) × D/EV</t>
        </is>
      </c>
      <c r="B26" s="18" t="n"/>
      <c r="C26" s="71">
        <f>C15*C22</f>
        <v/>
      </c>
      <c r="D26" s="71">
        <f>D15*D22</f>
        <v/>
      </c>
      <c r="E26" s="72">
        <f>E15*E22</f>
        <v/>
      </c>
    </row>
    <row r="27" ht="16" customHeight="1">
      <c r="A27" s="40" t="inlineStr">
        <is>
          <t>WACC</t>
        </is>
      </c>
      <c r="B27" s="31" t="n"/>
      <c r="C27" s="73">
        <f>C25+C26</f>
        <v/>
      </c>
      <c r="D27" s="73">
        <f>D25+D26</f>
        <v/>
      </c>
      <c r="E27" s="74">
        <f>E25+E26</f>
        <v/>
      </c>
    </row>
  </sheetData>
  <mergeCells count="6">
    <mergeCell ref="A12:E12"/>
    <mergeCell ref="A24:E24"/>
    <mergeCell ref="A2:E2"/>
    <mergeCell ref="A1:E1"/>
    <mergeCell ref="A5:E5"/>
    <mergeCell ref="A17:E1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2026-08-17T10:10:07Z</dcterms:created>
  <dcterms:modified xmlns:dcterms="http://purl.org/dc/terms/" xmlns:xsi="http://www.w3.org/2001/XMLSchema-instance" xsi:type="dcterms:W3CDTF">2026-08-17T10:10:07Z</dcterms:modified>
</cp:coreProperties>
</file>