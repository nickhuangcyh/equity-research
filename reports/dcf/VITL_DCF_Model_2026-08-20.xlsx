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F" sheetId="1" state="visible" r:id="rId1"/>
    <sheet xmlns:r="http://schemas.openxmlformats.org/officeDocument/2006/relationships" name="WAC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$#,##0.00;($#,##0.00);&quot;-&quot;"/>
    <numFmt numFmtId="165" formatCode="#,##0.0;(#,##0.0);&quot;-&quot;"/>
    <numFmt numFmtId="166" formatCode="0.0%"/>
    <numFmt numFmtId="167" formatCode="0.0%;(0.0%);&quot;-&quot;"/>
    <numFmt numFmtId="168" formatCode="0.0"/>
    <numFmt numFmtId="169" formatCode="0.0000"/>
    <numFmt numFmtId="170" formatCode="#,##0;(#,##0);&quot;-&quot;"/>
  </numFmts>
  <fonts count="2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000000"/>
      <sz val="9"/>
    </font>
    <font>
      <name val="Calibri"/>
      <b val="1"/>
      <color rgb="00000000"/>
      <sz val="10"/>
    </font>
    <font>
      <name val="Calibri"/>
      <b val="1"/>
      <color rgb="000000FF"/>
      <sz val="12"/>
    </font>
    <font>
      <name val="Calibri"/>
      <b val="1"/>
      <color rgb="00008000"/>
      <sz val="11"/>
    </font>
    <font>
      <name val="Calibri"/>
      <b val="1"/>
      <color rgb="00FFFFFF"/>
      <sz val="10"/>
    </font>
    <font>
      <name val="Calibri"/>
      <b val="1"/>
      <color rgb="00000000"/>
      <sz val="9"/>
    </font>
    <font>
      <name val="Calibri"/>
      <color rgb="000000FF"/>
      <sz val="10"/>
    </font>
    <font>
      <name val="Calibri"/>
      <color rgb="00000000"/>
      <sz val="10"/>
    </font>
    <font>
      <name val="Calibri"/>
      <color rgb="00000000"/>
      <sz val="9"/>
    </font>
    <font>
      <name val="Calibri"/>
      <color rgb="000000FF"/>
      <sz val="9"/>
    </font>
    <font>
      <name val="Calibri"/>
      <color rgb="00008000"/>
      <sz val="9"/>
    </font>
    <font>
      <name val="Calibri"/>
      <color rgb="00008000"/>
      <sz val="10"/>
    </font>
    <font>
      <name val="Calibri"/>
      <b val="1"/>
      <color rgb="00008000"/>
      <sz val="10"/>
    </font>
    <font>
      <name val="Calibri"/>
      <b val="1"/>
      <color rgb="00000000"/>
      <sz val="12"/>
    </font>
    <font>
      <name val="Calibri"/>
      <b val="1"/>
      <color rgb="001F4E79"/>
      <sz val="13"/>
    </font>
    <font>
      <name val="Calibri"/>
      <i val="1"/>
      <color rgb="00000000"/>
      <sz val="8"/>
    </font>
    <font>
      <name val="Calibri"/>
      <b val="1"/>
      <color rgb="00000000"/>
      <sz val="11"/>
    </font>
    <font>
      <name val="Calibri"/>
      <b val="1"/>
      <color rgb="00000000"/>
      <sz val="13"/>
    </font>
  </fonts>
  <fills count="6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BDD7EE"/>
      </patternFill>
    </fill>
  </fills>
  <borders count="21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/>
      <top/>
      <bottom/>
    </border>
    <border>
      <left/>
      <right/>
      <top/>
      <bottom/>
    </border>
    <border>
      <left/>
      <right style="medium"/>
      <top/>
      <bottom/>
    </border>
    <border>
      <left style="medium"/>
      <right/>
      <top/>
      <bottom style="medium"/>
    </border>
    <border>
      <left style="thin"/>
      <right style="thin"/>
      <top style="thin"/>
      <bottom style="medium"/>
    </border>
    <border>
      <left/>
      <right/>
      <top/>
      <bottom style="medium"/>
    </border>
    <border>
      <left/>
      <right style="medium"/>
      <top/>
      <bottom style="medium"/>
    </border>
    <border>
      <bottom style="thin"/>
    </border>
    <border>
      <left style="medium"/>
      <right style="thin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medium"/>
      <bottom style="medium"/>
    </border>
    <border>
      <left style="medium"/>
      <right/>
      <top style="medium"/>
      <bottom style="medium"/>
    </border>
    <border>
      <left/>
      <right/>
      <top style="medium"/>
      <bottom style="medium"/>
    </border>
    <border>
      <left/>
      <right style="medium"/>
      <top style="medium"/>
      <bottom style="medium"/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3" borderId="2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4" pivotButton="0" quotePrefix="0" xfId="0"/>
    <xf numFmtId="0" fontId="7" fillId="4" borderId="5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7" fillId="4" borderId="6" applyAlignment="1" pivotButton="0" quotePrefix="0" xfId="0">
      <alignment horizontal="center" vertical="center"/>
    </xf>
    <xf numFmtId="0" fontId="0" fillId="0" borderId="7" pivotButton="0" quotePrefix="0" xfId="0"/>
    <xf numFmtId="164" fontId="8" fillId="2" borderId="1" pivotButton="0" quotePrefix="0" xfId="0"/>
    <xf numFmtId="0" fontId="0" fillId="0" borderId="8" pivotButton="0" quotePrefix="0" xfId="0"/>
    <xf numFmtId="0" fontId="0" fillId="0" borderId="9" pivotButton="0" quotePrefix="0" xfId="0"/>
    <xf numFmtId="165" fontId="8" fillId="2" borderId="1" pivotButton="0" quotePrefix="0" xfId="0"/>
    <xf numFmtId="165" fontId="9" fillId="0" borderId="1" pivotButton="0" quotePrefix="0" xfId="0"/>
    <xf numFmtId="0" fontId="0" fillId="0" borderId="10" pivotButton="0" quotePrefix="0" xfId="0"/>
    <xf numFmtId="165" fontId="8" fillId="2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10" fillId="0" borderId="7" pivotButton="0" quotePrefix="0" xfId="0"/>
    <xf numFmtId="166" fontId="11" fillId="2" borderId="1" pivotButton="0" quotePrefix="0" xfId="0"/>
    <xf numFmtId="0" fontId="10" fillId="0" borderId="10" pivotButton="0" quotePrefix="0" xfId="0"/>
    <xf numFmtId="166" fontId="11" fillId="2" borderId="11" pivotButton="0" quotePrefix="0" xfId="0"/>
    <xf numFmtId="0" fontId="2" fillId="0" borderId="7" pivotButton="0" quotePrefix="0" xfId="0"/>
    <xf numFmtId="166" fontId="12" fillId="0" borderId="1" pivotButton="0" quotePrefix="0" xfId="0"/>
    <xf numFmtId="0" fontId="2" fillId="0" borderId="10" pivotButton="0" quotePrefix="0" xfId="0"/>
    <xf numFmtId="166" fontId="12" fillId="0" borderId="11" pivotButton="0" quotePrefix="0" xfId="0"/>
    <xf numFmtId="0" fontId="3" fillId="0" borderId="7" pivotButton="0" quotePrefix="0" xfId="0"/>
    <xf numFmtId="0" fontId="10" fillId="0" borderId="8" pivotButton="0" quotePrefix="0" xfId="0"/>
    <xf numFmtId="167" fontId="2" fillId="0" borderId="14" pivotButton="0" quotePrefix="0" xfId="0"/>
    <xf numFmtId="0" fontId="9" fillId="0" borderId="7" pivotButton="0" quotePrefix="0" xfId="0"/>
    <xf numFmtId="0" fontId="3" fillId="0" borderId="10" pivotButton="0" quotePrefix="0" xfId="0"/>
    <xf numFmtId="165" fontId="9" fillId="0" borderId="11" pivotButton="0" quotePrefix="0" xfId="0"/>
    <xf numFmtId="0" fontId="3" fillId="5" borderId="15" pivotButton="0" quotePrefix="0" xfId="0"/>
    <xf numFmtId="165" fontId="3" fillId="5" borderId="11" pivotButton="0" quotePrefix="0" xfId="0"/>
    <xf numFmtId="0" fontId="3" fillId="5" borderId="11" pivotButton="0" quotePrefix="0" xfId="0"/>
    <xf numFmtId="0" fontId="3" fillId="5" borderId="16" pivotButton="0" quotePrefix="0" xfId="0"/>
    <xf numFmtId="168" fontId="8" fillId="2" borderId="1" pivotButton="0" quotePrefix="0" xfId="0"/>
    <xf numFmtId="169" fontId="13" fillId="0" borderId="1" pivotButton="0" quotePrefix="0" xfId="0"/>
    <xf numFmtId="165" fontId="3" fillId="0" borderId="1" pivotButton="0" quotePrefix="0" xfId="0"/>
    <xf numFmtId="0" fontId="6" fillId="3" borderId="5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6" pivotButton="0" quotePrefix="0" xfId="0"/>
    <xf numFmtId="170" fontId="13" fillId="0" borderId="1" pivotButton="0" quotePrefix="0" xfId="0"/>
    <xf numFmtId="170" fontId="14" fillId="0" borderId="11" pivotButton="0" quotePrefix="0" xfId="0"/>
    <xf numFmtId="0" fontId="7" fillId="4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7" fillId="4" borderId="4" applyAlignment="1" pivotButton="0" quotePrefix="0" xfId="0">
      <alignment horizontal="center" vertical="center"/>
    </xf>
    <xf numFmtId="170" fontId="9" fillId="0" borderId="1" pivotButton="0" quotePrefix="0" xfId="0"/>
    <xf numFmtId="170" fontId="3" fillId="5" borderId="1" pivotButton="0" quotePrefix="0" xfId="0"/>
    <xf numFmtId="0" fontId="15" fillId="0" borderId="7" pivotButton="0" quotePrefix="0" xfId="0"/>
    <xf numFmtId="164" fontId="15" fillId="5" borderId="1" pivotButton="0" quotePrefix="0" xfId="0"/>
    <xf numFmtId="164" fontId="9" fillId="0" borderId="1" pivotButton="0" quotePrefix="0" xfId="0"/>
    <xf numFmtId="167" fontId="3" fillId="5" borderId="11" pivotButton="0" quotePrefix="0" xfId="0"/>
    <xf numFmtId="0" fontId="7" fillId="4" borderId="7" pivotButton="0" quotePrefix="0" xfId="0"/>
    <xf numFmtId="166" fontId="7" fillId="4" borderId="1" applyAlignment="1" pivotButton="0" quotePrefix="0" xfId="0">
      <alignment horizontal="center" vertical="center"/>
    </xf>
    <xf numFmtId="166" fontId="7" fillId="4" borderId="6" applyAlignment="1" pivotButton="0" quotePrefix="0" xfId="0">
      <alignment horizontal="center" vertical="center"/>
    </xf>
    <xf numFmtId="166" fontId="7" fillId="4" borderId="5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164" fontId="10" fillId="0" borderId="6" applyAlignment="1" pivotButton="0" quotePrefix="0" xfId="0">
      <alignment horizontal="center" vertical="center"/>
    </xf>
    <xf numFmtId="164" fontId="7" fillId="5" borderId="1" applyAlignment="1" pivotButton="0" quotePrefix="0" xfId="0">
      <alignment horizontal="center" vertical="center"/>
    </xf>
    <xf numFmtId="166" fontId="7" fillId="4" borderId="15" applyAlignment="1" pivotButton="0" quotePrefix="0" xfId="0">
      <alignment horizontal="center" vertical="center"/>
    </xf>
    <xf numFmtId="164" fontId="10" fillId="0" borderId="11" applyAlignment="1" pivotButton="0" quotePrefix="0" xfId="0">
      <alignment horizontal="center" vertical="center"/>
    </xf>
    <xf numFmtId="164" fontId="10" fillId="0" borderId="16" applyAlignment="1" pivotButton="0" quotePrefix="0" xfId="0">
      <alignment horizontal="center" vertical="center"/>
    </xf>
    <xf numFmtId="0" fontId="7" fillId="4" borderId="15" applyAlignment="1" pivotButton="0" quotePrefix="0" xfId="0">
      <alignment horizontal="center" vertical="center"/>
    </xf>
    <xf numFmtId="2" fontId="7" fillId="4" borderId="5" applyAlignment="1" pivotButton="0" quotePrefix="0" xfId="0">
      <alignment horizontal="center" vertical="center"/>
    </xf>
    <xf numFmtId="2" fontId="7" fillId="4" borderId="15" applyAlignment="1" pivotButton="0" quotePrefix="0" xfId="0">
      <alignment horizontal="center" vertical="center"/>
    </xf>
    <xf numFmtId="0" fontId="16" fillId="0" borderId="0" pivotButton="0" quotePrefix="0" xfId="0"/>
    <xf numFmtId="0" fontId="7" fillId="4" borderId="5" pivotButton="0" quotePrefix="0" xfId="0"/>
    <xf numFmtId="0" fontId="7" fillId="4" borderId="1" pivotButton="0" quotePrefix="0" xfId="0"/>
    <xf numFmtId="166" fontId="8" fillId="2" borderId="1" pivotButton="0" quotePrefix="0" xfId="0"/>
    <xf numFmtId="0" fontId="17" fillId="0" borderId="8" pivotButton="0" quotePrefix="0" xfId="0"/>
    <xf numFmtId="169" fontId="8" fillId="2" borderId="1" pivotButton="0" quotePrefix="0" xfId="0"/>
    <xf numFmtId="166" fontId="3" fillId="5" borderId="11" pivotButton="0" quotePrefix="0" xfId="0"/>
    <xf numFmtId="164" fontId="12" fillId="0" borderId="1" pivotButton="0" quotePrefix="0" xfId="0"/>
    <xf numFmtId="165" fontId="12" fillId="0" borderId="1" pivotButton="0" quotePrefix="0" xfId="0"/>
    <xf numFmtId="170" fontId="12" fillId="0" borderId="1" pivotButton="0" quotePrefix="0" xfId="0"/>
    <xf numFmtId="166" fontId="9" fillId="0" borderId="1" pivotButton="0" quotePrefix="0" xfId="0"/>
    <xf numFmtId="166" fontId="9" fillId="0" borderId="11" pivotButton="0" quotePrefix="0" xfId="0"/>
    <xf numFmtId="0" fontId="18" fillId="0" borderId="18" pivotButton="0" quotePrefix="0" xfId="0"/>
    <xf numFmtId="166" fontId="19" fillId="5" borderId="17" pivotButton="0" quotePrefix="0" xfId="0"/>
    <xf numFmtId="0" fontId="0" fillId="0" borderId="19" pivotButton="0" quotePrefix="0" xfId="0"/>
    <xf numFmtId="0" fontId="0" fillId="0" borderId="20" pivotButton="0" quotePrefix="0" xfId="0"/>
    <xf numFmtId="0" fontId="7" fillId="4" borderId="6" pivotButton="0" quotePrefix="0" xfId="0"/>
    <xf numFmtId="166" fontId="9" fillId="0" borderId="6" pivotButton="0" quotePrefix="0" xfId="0"/>
    <xf numFmtId="166" fontId="9" fillId="0" borderId="1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Model Builder</author>
  </authors>
  <commentList>
    <comment ref="B5" authorId="0" shapeId="0">
      <text>
        <t>Source: User Input — 1=Bear, 2=Base, 3=Bull</t>
      </text>
    </comment>
    <comment ref="B10" authorId="0" shapeId="0">
      <text>
        <t>Source: Market Data, 2026-08-19, NASDAQ Close Price</t>
      </text>
    </comment>
    <comment ref="B11" authorId="0" shapeId="0">
      <text>
        <t>Source: Vital Farms Q2 2026 10-Q, Jun 28 2026, Basic shares 42,928,046 + dilution est.</t>
      </text>
    </comment>
    <comment ref="B13" authorId="0" shapeId="0">
      <text>
        <t>Source: Vital Farms Q2 2026 Press Release, Jun 28 2026 — Cash $21.2M, LT Debt $30.0M → Net Debt = $8.8M</t>
      </text>
    </comment>
    <comment ref="G17" authorId="0" shapeId="0">
      <text>
        <t>Source: Analyst Estimate – Bear Case, 2026-08-20, revenue growth assumption</t>
      </text>
    </comment>
    <comment ref="H17" authorId="0" shapeId="0">
      <text>
        <t>Source: Analyst Estimate – Bear Case, 2026-08-20, revenue growth assumption</t>
      </text>
    </comment>
    <comment ref="I17" authorId="0" shapeId="0">
      <text>
        <t>Source: Analyst Estimate – Bear Case, 2026-08-20, revenue growth assumption</t>
      </text>
    </comment>
    <comment ref="J17" authorId="0" shapeId="0">
      <text>
        <t>Source: Analyst Estimate – Bear Case, 2026-08-20, revenue growth assumption</t>
      </text>
    </comment>
    <comment ref="K17" authorId="0" shapeId="0">
      <text>
        <t>Source: Analyst Estimate – Bear Case, 2026-08-20, revenue growth assumption</t>
      </text>
    </comment>
    <comment ref="G18" authorId="0" shapeId="0">
      <text>
        <t>Source: Analyst Estimate – Bear Case, 2026-08-20, gross margin assumption</t>
      </text>
    </comment>
    <comment ref="H18" authorId="0" shapeId="0">
      <text>
        <t>Source: Analyst Estimate – Bear Case, 2026-08-20, gross margin assumption</t>
      </text>
    </comment>
    <comment ref="I18" authorId="0" shapeId="0">
      <text>
        <t>Source: Analyst Estimate – Bear Case, 2026-08-20, gross margin assumption</t>
      </text>
    </comment>
    <comment ref="J18" authorId="0" shapeId="0">
      <text>
        <t>Source: Analyst Estimate – Bear Case, 2026-08-20, gross margin assumption</t>
      </text>
    </comment>
    <comment ref="K18" authorId="0" shapeId="0">
      <text>
        <t>Source: Analyst Estimate – Bear Case, 2026-08-20, gross margin assumption</t>
      </text>
    </comment>
    <comment ref="G19" authorId="0" shapeId="0">
      <text>
        <t>Source: Analyst Estimate – Bear Case, 2026-08-20, EBIT margin assumption</t>
      </text>
    </comment>
    <comment ref="H19" authorId="0" shapeId="0">
      <text>
        <t>Source: Analyst Estimate – Bear Case, 2026-08-20, EBIT margin assumption</t>
      </text>
    </comment>
    <comment ref="I19" authorId="0" shapeId="0">
      <text>
        <t>Source: Analyst Estimate – Bear Case, 2026-08-20, EBIT margin assumption</t>
      </text>
    </comment>
    <comment ref="J19" authorId="0" shapeId="0">
      <text>
        <t>Source: Analyst Estimate – Bear Case, 2026-08-20, EBIT margin assumption</t>
      </text>
    </comment>
    <comment ref="K19" authorId="0" shapeId="0">
      <text>
        <t>Source: Analyst Estimate – Bear Case, 2026-08-20, EBIT margin assumption</t>
      </text>
    </comment>
    <comment ref="G20" authorId="0" shapeId="0">
      <text>
        <t>Source: Analyst Estimate – Bear Case, 2026-08-20, normalized tax rate</t>
      </text>
    </comment>
    <comment ref="G21" authorId="0" shapeId="0">
      <text>
        <t>Source: Analyst Estimate – Bear Case, 2026-08-20, D&amp;A % revenue assumption</t>
      </text>
    </comment>
    <comment ref="H21" authorId="0" shapeId="0">
      <text>
        <t>Source: Analyst Estimate – Bear Case, 2026-08-20, D&amp;A % revenue assumption</t>
      </text>
    </comment>
    <comment ref="I21" authorId="0" shapeId="0">
      <text>
        <t>Source: Analyst Estimate – Bear Case, 2026-08-20, D&amp;A % revenue assumption</t>
      </text>
    </comment>
    <comment ref="J21" authorId="0" shapeId="0">
      <text>
        <t>Source: Analyst Estimate – Bear Case, 2026-08-20, D&amp;A % revenue assumption</t>
      </text>
    </comment>
    <comment ref="K21" authorId="0" shapeId="0">
      <text>
        <t>Source: Analyst Estimate – Bear Case, 2026-08-20, D&amp;A % revenue assumption</t>
      </text>
    </comment>
    <comment ref="G22" authorId="0" shapeId="0">
      <text>
        <t>Source: Analyst Estimate – Bear Case, 2026-08-20, CapEx % revenue assumption</t>
      </text>
    </comment>
    <comment ref="H22" authorId="0" shapeId="0">
      <text>
        <t>Source: Analyst Estimate – Bear Case, 2026-08-20, CapEx % revenue assumption</t>
      </text>
    </comment>
    <comment ref="I22" authorId="0" shapeId="0">
      <text>
        <t>Source: Analyst Estimate – Bear Case, 2026-08-20, CapEx % revenue assumption</t>
      </text>
    </comment>
    <comment ref="J22" authorId="0" shapeId="0">
      <text>
        <t>Source: Analyst Estimate – Bear Case, 2026-08-20, CapEx % revenue assumption</t>
      </text>
    </comment>
    <comment ref="K22" authorId="0" shapeId="0">
      <text>
        <t>Source: Analyst Estimate – Bear Case, 2026-08-20, CapEx % revenue assumption</t>
      </text>
    </comment>
    <comment ref="G23" authorId="0" shapeId="0">
      <text>
        <t>Source: Analyst Estimate – Bear Case, 2026-08-20, NWC change assumption</t>
      </text>
    </comment>
    <comment ref="H23" authorId="0" shapeId="0">
      <text>
        <t>Source: Analyst Estimate – Bear Case, 2026-08-20, NWC change assumption</t>
      </text>
    </comment>
    <comment ref="I23" authorId="0" shapeId="0">
      <text>
        <t>Source: Analyst Estimate – Bear Case, 2026-08-20, NWC change assumption</t>
      </text>
    </comment>
    <comment ref="J23" authorId="0" shapeId="0">
      <text>
        <t>Source: Analyst Estimate – Bear Case, 2026-08-20, NWC change assumption</t>
      </text>
    </comment>
    <comment ref="K23" authorId="0" shapeId="0">
      <text>
        <t>Source: Analyst Estimate – Bear Case, 2026-08-20, NWC change assumption</t>
      </text>
    </comment>
    <comment ref="G24" authorId="0" shapeId="0">
      <text>
        <t>Source: Analyst Estimate – Bear Case, 2026-08-20, terminal growth rate</t>
      </text>
    </comment>
    <comment ref="G25" authorId="0" shapeId="0">
      <text>
        <t>Source: Analyst Estimate – Bear Case, 2026-08-20, WACC assumption</t>
      </text>
    </comment>
    <comment ref="G29" authorId="0" shapeId="0">
      <text>
        <t>Source: Analyst Estimate – Base Case, 2026-08-20, revenue growth assumption</t>
      </text>
    </comment>
    <comment ref="H29" authorId="0" shapeId="0">
      <text>
        <t>Source: Analyst Estimate – Base Case, 2026-08-20, revenue growth assumption</t>
      </text>
    </comment>
    <comment ref="I29" authorId="0" shapeId="0">
      <text>
        <t>Source: Analyst Estimate – Base Case, 2026-08-20, revenue growth assumption</t>
      </text>
    </comment>
    <comment ref="J29" authorId="0" shapeId="0">
      <text>
        <t>Source: Analyst Estimate – Base Case, 2026-08-20, revenue growth assumption</t>
      </text>
    </comment>
    <comment ref="K29" authorId="0" shapeId="0">
      <text>
        <t>Source: Analyst Estimate – Base Case, 2026-08-20, revenue growth assumption</t>
      </text>
    </comment>
    <comment ref="G30" authorId="0" shapeId="0">
      <text>
        <t>Source: Analyst Estimate – Base Case, 2026-08-20, gross margin assumption</t>
      </text>
    </comment>
    <comment ref="H30" authorId="0" shapeId="0">
      <text>
        <t>Source: Analyst Estimate – Base Case, 2026-08-20, gross margin assumption</t>
      </text>
    </comment>
    <comment ref="I30" authorId="0" shapeId="0">
      <text>
        <t>Source: Analyst Estimate – Base Case, 2026-08-20, gross margin assumption</t>
      </text>
    </comment>
    <comment ref="J30" authorId="0" shapeId="0">
      <text>
        <t>Source: Analyst Estimate – Base Case, 2026-08-20, gross margin assumption</t>
      </text>
    </comment>
    <comment ref="K30" authorId="0" shapeId="0">
      <text>
        <t>Source: Analyst Estimate – Base Case, 2026-08-20, gross margin assumption</t>
      </text>
    </comment>
    <comment ref="G31" authorId="0" shapeId="0">
      <text>
        <t>Source: Analyst Estimate – Base Case, 2026-08-20, EBIT margin assumption</t>
      </text>
    </comment>
    <comment ref="H31" authorId="0" shapeId="0">
      <text>
        <t>Source: Analyst Estimate – Base Case, 2026-08-20, EBIT margin assumption</t>
      </text>
    </comment>
    <comment ref="I31" authorId="0" shapeId="0">
      <text>
        <t>Source: Analyst Estimate – Base Case, 2026-08-20, EBIT margin assumption</t>
      </text>
    </comment>
    <comment ref="J31" authorId="0" shapeId="0">
      <text>
        <t>Source: Analyst Estimate – Base Case, 2026-08-20, EBIT margin assumption</t>
      </text>
    </comment>
    <comment ref="K31" authorId="0" shapeId="0">
      <text>
        <t>Source: Analyst Estimate – Base Case, 2026-08-20, EBIT margin assumption</t>
      </text>
    </comment>
    <comment ref="G32" authorId="0" shapeId="0">
      <text>
        <t>Source: Analyst Estimate – Base Case, 2026-08-20, normalized tax rate</t>
      </text>
    </comment>
    <comment ref="G33" authorId="0" shapeId="0">
      <text>
        <t>Source: Analyst Estimate – Base Case, 2026-08-20, D&amp;A % revenue assumption</t>
      </text>
    </comment>
    <comment ref="H33" authorId="0" shapeId="0">
      <text>
        <t>Source: Analyst Estimate – Base Case, 2026-08-20, D&amp;A % revenue assumption</t>
      </text>
    </comment>
    <comment ref="I33" authorId="0" shapeId="0">
      <text>
        <t>Source: Analyst Estimate – Base Case, 2026-08-20, D&amp;A % revenue assumption</t>
      </text>
    </comment>
    <comment ref="J33" authorId="0" shapeId="0">
      <text>
        <t>Source: Analyst Estimate – Base Case, 2026-08-20, D&amp;A % revenue assumption</t>
      </text>
    </comment>
    <comment ref="K33" authorId="0" shapeId="0">
      <text>
        <t>Source: Analyst Estimate – Base Case, 2026-08-20, D&amp;A % revenue assumption</t>
      </text>
    </comment>
    <comment ref="G34" authorId="0" shapeId="0">
      <text>
        <t>Source: Analyst Estimate – Base Case, 2026-08-20, CapEx % revenue assumption</t>
      </text>
    </comment>
    <comment ref="H34" authorId="0" shapeId="0">
      <text>
        <t>Source: Analyst Estimate – Base Case, 2026-08-20, CapEx % revenue assumption</t>
      </text>
    </comment>
    <comment ref="I34" authorId="0" shapeId="0">
      <text>
        <t>Source: Analyst Estimate – Base Case, 2026-08-20, CapEx % revenue assumption</t>
      </text>
    </comment>
    <comment ref="J34" authorId="0" shapeId="0">
      <text>
        <t>Source: Analyst Estimate – Base Case, 2026-08-20, CapEx % revenue assumption</t>
      </text>
    </comment>
    <comment ref="K34" authorId="0" shapeId="0">
      <text>
        <t>Source: Analyst Estimate – Base Case, 2026-08-20, CapEx % revenue assumption</t>
      </text>
    </comment>
    <comment ref="G35" authorId="0" shapeId="0">
      <text>
        <t>Source: Analyst Estimate – Base Case, 2026-08-20, NWC change assumption</t>
      </text>
    </comment>
    <comment ref="H35" authorId="0" shapeId="0">
      <text>
        <t>Source: Analyst Estimate – Base Case, 2026-08-20, NWC change assumption</t>
      </text>
    </comment>
    <comment ref="I35" authorId="0" shapeId="0">
      <text>
        <t>Source: Analyst Estimate – Base Case, 2026-08-20, NWC change assumption</t>
      </text>
    </comment>
    <comment ref="J35" authorId="0" shapeId="0">
      <text>
        <t>Source: Analyst Estimate – Base Case, 2026-08-20, NWC change assumption</t>
      </text>
    </comment>
    <comment ref="K35" authorId="0" shapeId="0">
      <text>
        <t>Source: Analyst Estimate – Base Case, 2026-08-20, NWC change assumption</t>
      </text>
    </comment>
    <comment ref="G36" authorId="0" shapeId="0">
      <text>
        <t>Source: Analyst Estimate – Base Case, 2026-08-20, terminal growth rate</t>
      </text>
    </comment>
    <comment ref="G37" authorId="0" shapeId="0">
      <text>
        <t>Source: Analyst Estimate – Base Case, 2026-08-20, WACC assumption</t>
      </text>
    </comment>
    <comment ref="G41" authorId="0" shapeId="0">
      <text>
        <t>Source: Analyst Estimate – Bull Case, 2026-08-20, revenue growth assumption</t>
      </text>
    </comment>
    <comment ref="H41" authorId="0" shapeId="0">
      <text>
        <t>Source: Analyst Estimate – Bull Case, 2026-08-20, revenue growth assumption</t>
      </text>
    </comment>
    <comment ref="I41" authorId="0" shapeId="0">
      <text>
        <t>Source: Analyst Estimate – Bull Case, 2026-08-20, revenue growth assumption</t>
      </text>
    </comment>
    <comment ref="J41" authorId="0" shapeId="0">
      <text>
        <t>Source: Analyst Estimate – Bull Case, 2026-08-20, revenue growth assumption</t>
      </text>
    </comment>
    <comment ref="K41" authorId="0" shapeId="0">
      <text>
        <t>Source: Analyst Estimate – Bull Case, 2026-08-20, revenue growth assumption</t>
      </text>
    </comment>
    <comment ref="G42" authorId="0" shapeId="0">
      <text>
        <t>Source: Analyst Estimate – Bull Case, 2026-08-20, gross margin assumption</t>
      </text>
    </comment>
    <comment ref="H42" authorId="0" shapeId="0">
      <text>
        <t>Source: Analyst Estimate – Bull Case, 2026-08-20, gross margin assumption</t>
      </text>
    </comment>
    <comment ref="I42" authorId="0" shapeId="0">
      <text>
        <t>Source: Analyst Estimate – Bull Case, 2026-08-20, gross margin assumption</t>
      </text>
    </comment>
    <comment ref="J42" authorId="0" shapeId="0">
      <text>
        <t>Source: Analyst Estimate – Bull Case, 2026-08-20, gross margin assumption</t>
      </text>
    </comment>
    <comment ref="K42" authorId="0" shapeId="0">
      <text>
        <t>Source: Analyst Estimate – Bull Case, 2026-08-20, gross margin assumption</t>
      </text>
    </comment>
    <comment ref="G43" authorId="0" shapeId="0">
      <text>
        <t>Source: Analyst Estimate – Bull Case, 2026-08-20, EBIT margin assumption</t>
      </text>
    </comment>
    <comment ref="H43" authorId="0" shapeId="0">
      <text>
        <t>Source: Analyst Estimate – Bull Case, 2026-08-20, EBIT margin assumption</t>
      </text>
    </comment>
    <comment ref="I43" authorId="0" shapeId="0">
      <text>
        <t>Source: Analyst Estimate – Bull Case, 2026-08-20, EBIT margin assumption</t>
      </text>
    </comment>
    <comment ref="J43" authorId="0" shapeId="0">
      <text>
        <t>Source: Analyst Estimate – Bull Case, 2026-08-20, EBIT margin assumption</t>
      </text>
    </comment>
    <comment ref="K43" authorId="0" shapeId="0">
      <text>
        <t>Source: Analyst Estimate – Bull Case, 2026-08-20, EBIT margin assumption</t>
      </text>
    </comment>
    <comment ref="G44" authorId="0" shapeId="0">
      <text>
        <t>Source: Analyst Estimate – Bull Case, 2026-08-20, normalized tax rate</t>
      </text>
    </comment>
    <comment ref="G45" authorId="0" shapeId="0">
      <text>
        <t>Source: Analyst Estimate – Bull Case, 2026-08-20, D&amp;A % revenue assumption</t>
      </text>
    </comment>
    <comment ref="H45" authorId="0" shapeId="0">
      <text>
        <t>Source: Analyst Estimate – Bull Case, 2026-08-20, D&amp;A % revenue assumption</t>
      </text>
    </comment>
    <comment ref="I45" authorId="0" shapeId="0">
      <text>
        <t>Source: Analyst Estimate – Bull Case, 2026-08-20, D&amp;A % revenue assumption</t>
      </text>
    </comment>
    <comment ref="J45" authorId="0" shapeId="0">
      <text>
        <t>Source: Analyst Estimate – Bull Case, 2026-08-20, D&amp;A % revenue assumption</t>
      </text>
    </comment>
    <comment ref="K45" authorId="0" shapeId="0">
      <text>
        <t>Source: Analyst Estimate – Bull Case, 2026-08-20, D&amp;A % revenue assumption</t>
      </text>
    </comment>
    <comment ref="G46" authorId="0" shapeId="0">
      <text>
        <t>Source: Analyst Estimate – Bull Case, 2026-08-20, CapEx % revenue assumption</t>
      </text>
    </comment>
    <comment ref="H46" authorId="0" shapeId="0">
      <text>
        <t>Source: Analyst Estimate – Bull Case, 2026-08-20, CapEx % revenue assumption</t>
      </text>
    </comment>
    <comment ref="I46" authorId="0" shapeId="0">
      <text>
        <t>Source: Analyst Estimate – Bull Case, 2026-08-20, CapEx % revenue assumption</t>
      </text>
    </comment>
    <comment ref="J46" authorId="0" shapeId="0">
      <text>
        <t>Source: Analyst Estimate – Bull Case, 2026-08-20, CapEx % revenue assumption</t>
      </text>
    </comment>
    <comment ref="K46" authorId="0" shapeId="0">
      <text>
        <t>Source: Analyst Estimate – Bull Case, 2026-08-20, CapEx % revenue assumption</t>
      </text>
    </comment>
    <comment ref="G47" authorId="0" shapeId="0">
      <text>
        <t>Source: Analyst Estimate – Bull Case, 2026-08-20, NWC change assumption</t>
      </text>
    </comment>
    <comment ref="H47" authorId="0" shapeId="0">
      <text>
        <t>Source: Analyst Estimate – Bull Case, 2026-08-20, NWC change assumption</t>
      </text>
    </comment>
    <comment ref="I47" authorId="0" shapeId="0">
      <text>
        <t>Source: Analyst Estimate – Bull Case, 2026-08-20, NWC change assumption</t>
      </text>
    </comment>
    <comment ref="J47" authorId="0" shapeId="0">
      <text>
        <t>Source: Analyst Estimate – Bull Case, 2026-08-20, NWC change assumption</t>
      </text>
    </comment>
    <comment ref="K47" authorId="0" shapeId="0">
      <text>
        <t>Source: Analyst Estimate – Bull Case, 2026-08-20, NWC change assumption</t>
      </text>
    </comment>
    <comment ref="G48" authorId="0" shapeId="0">
      <text>
        <t>Source: Analyst Estimate – Bull Case, 2026-08-20, terminal growth rate</t>
      </text>
    </comment>
    <comment ref="G49" authorId="0" shapeId="0">
      <text>
        <t>Source: Analyst Estimate – Bull Case, 2026-08-20, WACC assumption</t>
      </text>
    </comment>
    <comment ref="B64" authorId="0" shapeId="0">
      <text>
        <t>Source: Vital Farms Annual Reports / StockAnalysis.com, 2026-08-20</t>
      </text>
    </comment>
    <comment ref="C64" authorId="0" shapeId="0">
      <text>
        <t>Source: Vital Farms Annual Reports / StockAnalysis.com, 2026-08-20</t>
      </text>
    </comment>
    <comment ref="D64" authorId="0" shapeId="0">
      <text>
        <t>Source: Vital Farms Annual Reports / StockAnalysis.com, 2026-08-20</t>
      </text>
    </comment>
    <comment ref="E64" authorId="0" shapeId="0">
      <text>
        <t>Source: Vital Farms Annual Reports / StockAnalysis.com, 2026-08-20</t>
      </text>
    </comment>
    <comment ref="F64" authorId="0" shapeId="0">
      <text>
        <t>Source: Vital Farms Annual Reports / StockAnalysis.com, 2026-08-20</t>
      </text>
    </comment>
    <comment ref="B67" authorId="0" shapeId="0">
      <text>
        <t>Source: Vital Farms Annual Reports / StockAnalysis.com, 2026-08-20</t>
      </text>
    </comment>
    <comment ref="C67" authorId="0" shapeId="0">
      <text>
        <t>Source: Vital Farms Annual Reports / StockAnalysis.com, 2026-08-20</t>
      </text>
    </comment>
    <comment ref="D67" authorId="0" shapeId="0">
      <text>
        <t>Source: Vital Farms Annual Reports / StockAnalysis.com, 2026-08-20</t>
      </text>
    </comment>
    <comment ref="E67" authorId="0" shapeId="0">
      <text>
        <t>Source: Vital Farms Annual Reports / StockAnalysis.com, 2026-08-20</t>
      </text>
    </comment>
    <comment ref="F67" authorId="0" shapeId="0">
      <text>
        <t>Source: Vital Farms Annual Reports / StockAnalysis.com, 2026-08-20</t>
      </text>
    </comment>
    <comment ref="B70" authorId="0" shapeId="0">
      <text>
        <t>Source: Vital Farms Annual Reports / StockAnalysis.com, 2026-08-20</t>
      </text>
    </comment>
    <comment ref="C70" authorId="0" shapeId="0">
      <text>
        <t>Source: Vital Farms Annual Reports / StockAnalysis.com, 2026-08-20</t>
      </text>
    </comment>
    <comment ref="D70" authorId="0" shapeId="0">
      <text>
        <t>Source: Vital Farms Annual Reports / StockAnalysis.com, 2026-08-20</t>
      </text>
    </comment>
    <comment ref="E70" authorId="0" shapeId="0">
      <text>
        <t>Source: Vital Farms Annual Reports / StockAnalysis.com, 2026-08-20</t>
      </text>
    </comment>
    <comment ref="F70" authorId="0" shapeId="0">
      <text>
        <t>Source: Vital Farms Annual Reports / StockAnalysis.com, 2026-08-20</t>
      </text>
    </comment>
    <comment ref="B73" authorId="0" shapeId="0">
      <text>
        <t>Source: Vital Farms Annual Reports / StockAnalysis.com, 2026-08-20</t>
      </text>
    </comment>
    <comment ref="C73" authorId="0" shapeId="0">
      <text>
        <t>Source: Vital Farms Annual Reports / StockAnalysis.com, 2026-08-20</t>
      </text>
    </comment>
    <comment ref="D73" authorId="0" shapeId="0">
      <text>
        <t>Source: Vital Farms Annual Reports / StockAnalysis.com, 2026-08-20</t>
      </text>
    </comment>
    <comment ref="E73" authorId="0" shapeId="0">
      <text>
        <t>Source: Vital Farms Annual Reports / StockAnalysis.com, 2026-08-20</t>
      </text>
    </comment>
    <comment ref="F73" authorId="0" shapeId="0">
      <text>
        <t>Source: Vital Farms Annual Reports / StockAnalysis.com, 2026-08-20</t>
      </text>
    </comment>
    <comment ref="B76" authorId="0" shapeId="0">
      <text>
        <t>Source: Vital Farms Annual Reports / StockAnalysis.com, 2026-08-20</t>
      </text>
    </comment>
    <comment ref="C76" authorId="0" shapeId="0">
      <text>
        <t>Source: Vital Farms Annual Reports / StockAnalysis.com, 2026-08-20</t>
      </text>
    </comment>
    <comment ref="D76" authorId="0" shapeId="0">
      <text>
        <t>Source: Vital Farms Annual Reports / StockAnalysis.com, 2026-08-20</t>
      </text>
    </comment>
    <comment ref="E76" authorId="0" shapeId="0">
      <text>
        <t>Source: Vital Farms Annual Reports / StockAnalysis.com, 2026-08-20</t>
      </text>
    </comment>
    <comment ref="F76" authorId="0" shapeId="0">
      <text>
        <t>Source: Vital Farms Annual Reports / StockAnalysis.com, 2026-08-20</t>
      </text>
    </comment>
    <comment ref="B79" authorId="0" shapeId="0">
      <text>
        <t>Source: Derived — EBIT × (1 – Tax Rate), Annual Reports, 2026-08-20</t>
      </text>
    </comment>
    <comment ref="C79" authorId="0" shapeId="0">
      <text>
        <t>Source: Derived — EBIT × (1 – Tax Rate), Annual Reports, 2026-08-20</t>
      </text>
    </comment>
    <comment ref="D79" authorId="0" shapeId="0">
      <text>
        <t>Source: Derived — EBIT × (1 – Tax Rate), Annual Reports, 2026-08-20</t>
      </text>
    </comment>
    <comment ref="E79" authorId="0" shapeId="0">
      <text>
        <t>Source: Derived — EBIT × (1 – Tax Rate), Annual Reports, 2026-08-20</t>
      </text>
    </comment>
    <comment ref="F79" authorId="0" shapeId="0">
      <text>
        <t>Source: Derived — EBIT × (1 – Tax Rate), Annual Reports, 2026-08-20</t>
      </text>
    </comment>
    <comment ref="B84" authorId="0" shapeId="0">
      <text>
        <t>Source: Vital Farms Cash Flow Statement / StockAnalysis.com, 2026-08-20</t>
      </text>
    </comment>
    <comment ref="C84" authorId="0" shapeId="0">
      <text>
        <t>Source: Vital Farms Cash Flow Statement / StockAnalysis.com, 2026-08-20</t>
      </text>
    </comment>
    <comment ref="D84" authorId="0" shapeId="0">
      <text>
        <t>Source: Vital Farms Cash Flow Statement / StockAnalysis.com, 2026-08-20</t>
      </text>
    </comment>
    <comment ref="E84" authorId="0" shapeId="0">
      <text>
        <t>Source: Vital Farms Cash Flow Statement / StockAnalysis.com, 2026-08-20</t>
      </text>
    </comment>
    <comment ref="F84" authorId="0" shapeId="0">
      <text>
        <t>Source: Vital Farms Cash Flow Statement / StockAnalysis.com, 2026-08-20</t>
      </text>
    </comment>
    <comment ref="B86" authorId="0" shapeId="0">
      <text>
        <t>Source: Vital Farms Cash Flow Statement / StockAnalysis.com, 2026-08-20</t>
      </text>
    </comment>
    <comment ref="C86" authorId="0" shapeId="0">
      <text>
        <t>Source: Vital Farms Cash Flow Statement / StockAnalysis.com, 2026-08-20</t>
      </text>
    </comment>
    <comment ref="D86" authorId="0" shapeId="0">
      <text>
        <t>Source: Vital Farms Cash Flow Statement / StockAnalysis.com, 2026-08-20</t>
      </text>
    </comment>
    <comment ref="E86" authorId="0" shapeId="0">
      <text>
        <t>Source: Vital Farms Cash Flow Statement / StockAnalysis.com, 2026-08-20</t>
      </text>
    </comment>
    <comment ref="F86" authorId="0" shapeId="0">
      <text>
        <t>Source: Vital Farms Cash Flow Statement / StockAnalysis.com, 2026-08-20</t>
      </text>
    </comment>
    <comment ref="B88" authorId="0" shapeId="0">
      <text>
        <t>Source: Vital Farms Cash Flow — Change in Working Capital, StockAnalysis.com, 2026-08-20</t>
      </text>
    </comment>
    <comment ref="C88" authorId="0" shapeId="0">
      <text>
        <t>Source: Vital Farms Cash Flow — Change in Working Capital, StockAnalysis.com, 2026-08-20</t>
      </text>
    </comment>
    <comment ref="D88" authorId="0" shapeId="0">
      <text>
        <t>Source: Vital Farms Cash Flow — Change in Working Capital, StockAnalysis.com, 2026-08-20</t>
      </text>
    </comment>
    <comment ref="E88" authorId="0" shapeId="0">
      <text>
        <t>Source: Vital Farms Cash Flow — Change in Working Capital, StockAnalysis.com, 2026-08-20</t>
      </text>
    </comment>
    <comment ref="F88" authorId="0" shapeId="0">
      <text>
        <t>Source: Vital Farms Cash Flow — Change in Working Capital, StockAnalysis.com, 2026-08-20</t>
      </text>
    </comment>
    <comment ref="B91" authorId="0" shapeId="0">
      <text>
        <t>Source: StockAnalysis.com Unlevered FCF, 2026-08-20</t>
      </text>
    </comment>
    <comment ref="C91" authorId="0" shapeId="0">
      <text>
        <t>Source: StockAnalysis.com Unlevered FCF, 2026-08-20</t>
      </text>
    </comment>
    <comment ref="D91" authorId="0" shapeId="0">
      <text>
        <t>Source: StockAnalysis.com Unlevered FCF, 2026-08-20</t>
      </text>
    </comment>
    <comment ref="E91" authorId="0" shapeId="0">
      <text>
        <t>Source: StockAnalysis.com Unlevered FCF, 2026-08-20</t>
      </text>
    </comment>
    <comment ref="F91" authorId="0" shapeId="0">
      <text>
        <t>Source: StockAnalysis.com Unlevered FCF, 2026-08-20</t>
      </text>
    </comment>
    <comment ref="G95" authorId="0" shapeId="0">
      <text>
        <t>Source: Model Assumption — mid-year convention, 2026-08-20</t>
      </text>
    </comment>
    <comment ref="H95" authorId="0" shapeId="0">
      <text>
        <t>Source: Model Assumption — mid-year convention, 2026-08-20</t>
      </text>
    </comment>
    <comment ref="I95" authorId="0" shapeId="0">
      <text>
        <t>Source: Model Assumption — mid-year convention, 2026-08-20</t>
      </text>
    </comment>
    <comment ref="J95" authorId="0" shapeId="0">
      <text>
        <t>Source: Model Assumption — mid-year convention, 2026-08-20</t>
      </text>
    </comment>
    <comment ref="K95" authorId="0" shapeId="0">
      <text>
        <t>Source: Model Assumption — mid-year convention, 2026-08-20</t>
      </text>
    </comment>
  </commentList>
</comments>
</file>

<file path=xl/comments/comment2.xml><?xml version="1.0" encoding="utf-8"?>
<comments xmlns="http://schemas.openxmlformats.org/spreadsheetml/2006/main">
  <authors>
    <author>Model Builder</author>
  </authors>
  <commentList>
    <comment ref="B6" authorId="0" shapeId="0">
      <text>
        <t>Source: US Federal Reserve / FRED DGS10, 2026-08-17, 4.68%</t>
      </text>
    </comment>
    <comment ref="B7" authorId="0" shapeId="0">
      <text>
        <t>Source: GuruFocus.com, 2026-08-19, VITL 5-year beta = 1.3756</t>
      </text>
    </comment>
    <comment ref="B8" authorId="0" shapeId="0">
      <text>
        <t>Source: Damodaran ERP estimate, 2026, 5.5% (US market)</t>
      </text>
    </comment>
    <comment ref="B13" authorId="0" shapeId="0">
      <text>
        <t>Source: Vital Farms Q2 2026 — New $125M term loan, estimated rate ~8.5% (SOFR + spread)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N141"/>
  <sheetViews>
    <sheetView workbookViewId="0">
      <pane xSplit="1" ySplit="63" topLeftCell="B6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" customWidth="1" min="12" max="12"/>
    <col width="13" customWidth="1" min="13" max="13"/>
    <col width="5" customWidth="1" min="14" max="14"/>
  </cols>
  <sheetData>
    <row r="1" ht="20" customHeight="1">
      <c r="A1" s="1" t="inlineStr">
        <is>
          <t>Vital Farms, Inc. (VITL) – DCF Valuation Model</t>
        </is>
      </c>
    </row>
    <row r="2">
      <c r="A2" s="2" t="inlineStr">
        <is>
          <t>NASDAQ: VITL  |  Model Date: August 20, 2026  |  Fiscal Year End: December</t>
        </is>
      </c>
    </row>
    <row r="4">
      <c r="A4" s="3" t="inlineStr">
        <is>
          <t>Scenario Selector (1=Bear / 2=Base / 3=Bull):</t>
        </is>
      </c>
    </row>
    <row r="5">
      <c r="A5" t="inlineStr">
        <is>
          <t>Selected Case:</t>
        </is>
      </c>
      <c r="B5" s="4" t="n">
        <v>2</v>
      </c>
    </row>
    <row r="6">
      <c r="B6" s="5">
        <f>IF(B5=1,"Bear Case",IF(B5=2,"Base Case","Bull Case"))</f>
        <v/>
      </c>
    </row>
    <row r="8">
      <c r="A8" s="6" t="inlineStr">
        <is>
          <t>MARKET DATA &amp; KEY INPUTS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8" t="n"/>
    </row>
    <row r="9">
      <c r="A9" s="9" t="inlineStr">
        <is>
          <t>Item</t>
        </is>
      </c>
      <c r="B9" s="10" t="inlineStr">
        <is>
          <t>Value</t>
        </is>
      </c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1" t="n"/>
    </row>
    <row r="10">
      <c r="A10" s="12" t="inlineStr">
        <is>
          <t>Current Stock Price</t>
        </is>
      </c>
      <c r="B10" s="13" t="n">
        <v>10.87</v>
      </c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5" t="n"/>
    </row>
    <row r="11">
      <c r="A11" s="12" t="inlineStr">
        <is>
          <t>Diluted Shares Outstanding (M)</t>
        </is>
      </c>
      <c r="B11" s="16" t="n">
        <v>42.9</v>
      </c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5" t="n"/>
    </row>
    <row r="12">
      <c r="A12" s="12" t="inlineStr">
        <is>
          <t>Market Capitalization ($M)</t>
        </is>
      </c>
      <c r="B12" s="17">
        <f>B10*B11</f>
        <v/>
      </c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5" t="n"/>
    </row>
    <row r="13">
      <c r="A13" s="18" t="inlineStr">
        <is>
          <t>Net Debt ($M)  [Debt – Cash]</t>
        </is>
      </c>
      <c r="B13" s="19" t="n">
        <v>8.800000000000001</v>
      </c>
      <c r="C13" s="20" t="n"/>
      <c r="D13" s="20" t="n"/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1" t="n"/>
    </row>
    <row r="15">
      <c r="A15" s="6" t="inlineStr">
        <is>
          <t>BEAR CASE ASSUMPTIONS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8" t="n"/>
    </row>
    <row r="16">
      <c r="A16" s="9" t="inlineStr">
        <is>
          <t>Assumption</t>
        </is>
      </c>
      <c r="B16" s="10" t="n"/>
      <c r="C16" s="10" t="n"/>
      <c r="D16" s="10" t="n"/>
      <c r="E16" s="10" t="n"/>
      <c r="F16" s="10" t="n"/>
      <c r="G16" s="10" t="inlineStr">
        <is>
          <t>FY2026E</t>
        </is>
      </c>
      <c r="H16" s="10" t="inlineStr">
        <is>
          <t>FY2027E</t>
        </is>
      </c>
      <c r="I16" s="10" t="inlineStr">
        <is>
          <t>FY2028E</t>
        </is>
      </c>
      <c r="J16" s="10" t="inlineStr">
        <is>
          <t>FY2029E</t>
        </is>
      </c>
      <c r="K16" s="10" t="inlineStr">
        <is>
          <t>FY2030E</t>
        </is>
      </c>
      <c r="L16" s="10" t="n"/>
      <c r="M16" s="10" t="n"/>
      <c r="N16" s="11" t="n"/>
    </row>
    <row r="17">
      <c r="A17" s="22" t="inlineStr">
        <is>
          <t>Revenue Growth (%)</t>
        </is>
      </c>
      <c r="B17" s="14" t="n"/>
      <c r="C17" s="14" t="n"/>
      <c r="D17" s="14" t="n"/>
      <c r="E17" s="14" t="n"/>
      <c r="F17" s="14" t="n"/>
      <c r="G17" s="23" t="n">
        <v>0.03</v>
      </c>
      <c r="H17" s="23" t="n">
        <v>0.08</v>
      </c>
      <c r="I17" s="23" t="n">
        <v>0.1</v>
      </c>
      <c r="J17" s="23" t="n">
        <v>0.1</v>
      </c>
      <c r="K17" s="23" t="n">
        <v>0.09</v>
      </c>
      <c r="L17" s="14" t="n"/>
      <c r="M17" s="14" t="n"/>
      <c r="N17" s="15" t="n"/>
    </row>
    <row r="18">
      <c r="A18" s="22" t="inlineStr">
        <is>
          <t>Gross Margin (%)</t>
        </is>
      </c>
      <c r="B18" s="14" t="n"/>
      <c r="C18" s="14" t="n"/>
      <c r="D18" s="14" t="n"/>
      <c r="E18" s="14" t="n"/>
      <c r="F18" s="14" t="n"/>
      <c r="G18" s="23" t="n">
        <v>0.26</v>
      </c>
      <c r="H18" s="23" t="n">
        <v>0.3</v>
      </c>
      <c r="I18" s="23" t="n">
        <v>0.32</v>
      </c>
      <c r="J18" s="23" t="n">
        <v>0.33</v>
      </c>
      <c r="K18" s="23" t="n">
        <v>0.34</v>
      </c>
      <c r="L18" s="14" t="n"/>
      <c r="M18" s="14" t="n"/>
      <c r="N18" s="15" t="n"/>
    </row>
    <row r="19">
      <c r="A19" s="22" t="inlineStr">
        <is>
          <t>EBIT Margin (%)</t>
        </is>
      </c>
      <c r="B19" s="14" t="n"/>
      <c r="C19" s="14" t="n"/>
      <c r="D19" s="14" t="n"/>
      <c r="E19" s="14" t="n"/>
      <c r="F19" s="14" t="n"/>
      <c r="G19" s="23" t="n">
        <v>-0.02</v>
      </c>
      <c r="H19" s="23" t="n">
        <v>0.02</v>
      </c>
      <c r="I19" s="23" t="n">
        <v>0.05</v>
      </c>
      <c r="J19" s="23" t="n">
        <v>0.07000000000000001</v>
      </c>
      <c r="K19" s="23" t="n">
        <v>0.08</v>
      </c>
      <c r="L19" s="14" t="n"/>
      <c r="M19" s="14" t="n"/>
      <c r="N19" s="15" t="n"/>
    </row>
    <row r="20">
      <c r="A20" s="22" t="inlineStr">
        <is>
          <t>Tax Rate (%)</t>
        </is>
      </c>
      <c r="B20" s="14" t="n"/>
      <c r="C20" s="14" t="n"/>
      <c r="D20" s="14" t="n"/>
      <c r="E20" s="14" t="n"/>
      <c r="F20" s="14" t="n"/>
      <c r="G20" s="23" t="n">
        <v>0.24</v>
      </c>
      <c r="H20" s="14" t="n"/>
      <c r="I20" s="14" t="n"/>
      <c r="J20" s="14" t="n"/>
      <c r="K20" s="14" t="n"/>
      <c r="L20" s="14" t="n"/>
      <c r="M20" s="14" t="n"/>
      <c r="N20" s="15" t="n"/>
    </row>
    <row r="21">
      <c r="A21" s="22" t="inlineStr">
        <is>
          <t>D&amp;A (% of Revenue)</t>
        </is>
      </c>
      <c r="B21" s="14" t="n"/>
      <c r="C21" s="14" t="n"/>
      <c r="D21" s="14" t="n"/>
      <c r="E21" s="14" t="n"/>
      <c r="F21" s="14" t="n"/>
      <c r="G21" s="23" t="n">
        <v>0.04</v>
      </c>
      <c r="H21" s="23" t="n">
        <v>0.038</v>
      </c>
      <c r="I21" s="23" t="n">
        <v>0.035</v>
      </c>
      <c r="J21" s="23" t="n">
        <v>0.033</v>
      </c>
      <c r="K21" s="23" t="n">
        <v>0.03</v>
      </c>
      <c r="L21" s="14" t="n"/>
      <c r="M21" s="14" t="n"/>
      <c r="N21" s="15" t="n"/>
    </row>
    <row r="22">
      <c r="A22" s="22" t="inlineStr">
        <is>
          <t>CapEx (% of Revenue)</t>
        </is>
      </c>
      <c r="B22" s="14" t="n"/>
      <c r="C22" s="14" t="n"/>
      <c r="D22" s="14" t="n"/>
      <c r="E22" s="14" t="n"/>
      <c r="F22" s="14" t="n"/>
      <c r="G22" s="23" t="n">
        <v>0.095</v>
      </c>
      <c r="H22" s="23" t="n">
        <v>0.08500000000000001</v>
      </c>
      <c r="I22" s="23" t="n">
        <v>0.07000000000000001</v>
      </c>
      <c r="J22" s="23" t="n">
        <v>0.06</v>
      </c>
      <c r="K22" s="23" t="n">
        <v>0.05</v>
      </c>
      <c r="L22" s="14" t="n"/>
      <c r="M22" s="14" t="n"/>
      <c r="N22" s="15" t="n"/>
    </row>
    <row r="23">
      <c r="A23" s="22" t="inlineStr">
        <is>
          <t>NWC Change (% of Δ Revenue)</t>
        </is>
      </c>
      <c r="B23" s="14" t="n"/>
      <c r="C23" s="14" t="n"/>
      <c r="D23" s="14" t="n"/>
      <c r="E23" s="14" t="n"/>
      <c r="F23" s="14" t="n"/>
      <c r="G23" s="23" t="n">
        <v>0.03</v>
      </c>
      <c r="H23" s="23" t="n">
        <v>0.03</v>
      </c>
      <c r="I23" s="23" t="n">
        <v>0.03</v>
      </c>
      <c r="J23" s="23" t="n">
        <v>0.02</v>
      </c>
      <c r="K23" s="23" t="n">
        <v>0.02</v>
      </c>
      <c r="L23" s="14" t="n"/>
      <c r="M23" s="14" t="n"/>
      <c r="N23" s="15" t="n"/>
    </row>
    <row r="24">
      <c r="A24" s="22" t="inlineStr">
        <is>
          <t>Terminal Growth Rate (%)</t>
        </is>
      </c>
      <c r="B24" s="14" t="n"/>
      <c r="C24" s="14" t="n"/>
      <c r="D24" s="14" t="n"/>
      <c r="E24" s="14" t="n"/>
      <c r="F24" s="14" t="n"/>
      <c r="G24" s="23" t="n">
        <v>0.025</v>
      </c>
      <c r="H24" s="14" t="n"/>
      <c r="I24" s="14" t="n"/>
      <c r="J24" s="14" t="n"/>
      <c r="K24" s="14" t="n"/>
      <c r="L24" s="14" t="n"/>
      <c r="M24" s="14" t="n"/>
      <c r="N24" s="15" t="n"/>
    </row>
    <row r="25">
      <c r="A25" s="24" t="inlineStr">
        <is>
          <t>WACC (%)</t>
        </is>
      </c>
      <c r="B25" s="20" t="n"/>
      <c r="C25" s="20" t="n"/>
      <c r="D25" s="20" t="n"/>
      <c r="E25" s="20" t="n"/>
      <c r="F25" s="20" t="n"/>
      <c r="G25" s="25" t="n">
        <v>0.115</v>
      </c>
      <c r="H25" s="20" t="n"/>
      <c r="I25" s="20" t="n"/>
      <c r="J25" s="20" t="n"/>
      <c r="K25" s="20" t="n"/>
      <c r="L25" s="20" t="n"/>
      <c r="M25" s="20" t="n"/>
      <c r="N25" s="21" t="n"/>
    </row>
    <row r="27">
      <c r="A27" s="6" t="inlineStr">
        <is>
          <t>BASE CASE ASSUMPTIONS</t>
        </is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8" t="n"/>
    </row>
    <row r="28">
      <c r="A28" s="9" t="inlineStr">
        <is>
          <t>Assumption</t>
        </is>
      </c>
      <c r="B28" s="10" t="n"/>
      <c r="C28" s="10" t="n"/>
      <c r="D28" s="10" t="n"/>
      <c r="E28" s="10" t="n"/>
      <c r="F28" s="10" t="n"/>
      <c r="G28" s="10" t="inlineStr">
        <is>
          <t>FY2026E</t>
        </is>
      </c>
      <c r="H28" s="10" t="inlineStr">
        <is>
          <t>FY2027E</t>
        </is>
      </c>
      <c r="I28" s="10" t="inlineStr">
        <is>
          <t>FY2028E</t>
        </is>
      </c>
      <c r="J28" s="10" t="inlineStr">
        <is>
          <t>FY2029E</t>
        </is>
      </c>
      <c r="K28" s="10" t="inlineStr">
        <is>
          <t>FY2030E</t>
        </is>
      </c>
      <c r="L28" s="10" t="n"/>
      <c r="M28" s="10" t="n"/>
      <c r="N28" s="11" t="n"/>
    </row>
    <row r="29">
      <c r="A29" s="22" t="inlineStr">
        <is>
          <t>Revenue Growth (%)</t>
        </is>
      </c>
      <c r="B29" s="14" t="n"/>
      <c r="C29" s="14" t="n"/>
      <c r="D29" s="14" t="n"/>
      <c r="E29" s="14" t="n"/>
      <c r="F29" s="14" t="n"/>
      <c r="G29" s="23" t="n">
        <v>0.035</v>
      </c>
      <c r="H29" s="23" t="n">
        <v>0.15</v>
      </c>
      <c r="I29" s="23" t="n">
        <v>0.18</v>
      </c>
      <c r="J29" s="23" t="n">
        <v>0.16</v>
      </c>
      <c r="K29" s="23" t="n">
        <v>0.13</v>
      </c>
      <c r="L29" s="14" t="n"/>
      <c r="M29" s="14" t="n"/>
      <c r="N29" s="15" t="n"/>
    </row>
    <row r="30">
      <c r="A30" s="22" t="inlineStr">
        <is>
          <t>Gross Margin (%)</t>
        </is>
      </c>
      <c r="B30" s="14" t="n"/>
      <c r="C30" s="14" t="n"/>
      <c r="D30" s="14" t="n"/>
      <c r="E30" s="14" t="n"/>
      <c r="F30" s="14" t="n"/>
      <c r="G30" s="23" t="n">
        <v>0.28</v>
      </c>
      <c r="H30" s="23" t="n">
        <v>0.34</v>
      </c>
      <c r="I30" s="23" t="n">
        <v>0.36</v>
      </c>
      <c r="J30" s="23" t="n">
        <v>0.37</v>
      </c>
      <c r="K30" s="23" t="n">
        <v>0.38</v>
      </c>
      <c r="L30" s="14" t="n"/>
      <c r="M30" s="14" t="n"/>
      <c r="N30" s="15" t="n"/>
    </row>
    <row r="31">
      <c r="A31" s="22" t="inlineStr">
        <is>
          <t>EBIT Margin (%)</t>
        </is>
      </c>
      <c r="B31" s="14" t="n"/>
      <c r="C31" s="14" t="n"/>
      <c r="D31" s="14" t="n"/>
      <c r="E31" s="14" t="n"/>
      <c r="F31" s="14" t="n"/>
      <c r="G31" s="23" t="n">
        <v>0</v>
      </c>
      <c r="H31" s="23" t="n">
        <v>0.06</v>
      </c>
      <c r="I31" s="23" t="n">
        <v>0.09</v>
      </c>
      <c r="J31" s="23" t="n">
        <v>0.11</v>
      </c>
      <c r="K31" s="23" t="n">
        <v>0.13</v>
      </c>
      <c r="L31" s="14" t="n"/>
      <c r="M31" s="14" t="n"/>
      <c r="N31" s="15" t="n"/>
    </row>
    <row r="32">
      <c r="A32" s="22" t="inlineStr">
        <is>
          <t>Tax Rate (%)</t>
        </is>
      </c>
      <c r="B32" s="14" t="n"/>
      <c r="C32" s="14" t="n"/>
      <c r="D32" s="14" t="n"/>
      <c r="E32" s="14" t="n"/>
      <c r="F32" s="14" t="n"/>
      <c r="G32" s="23" t="n">
        <v>0.24</v>
      </c>
      <c r="H32" s="14" t="n"/>
      <c r="I32" s="14" t="n"/>
      <c r="J32" s="14" t="n"/>
      <c r="K32" s="14" t="n"/>
      <c r="L32" s="14" t="n"/>
      <c r="M32" s="14" t="n"/>
      <c r="N32" s="15" t="n"/>
    </row>
    <row r="33">
      <c r="A33" s="22" t="inlineStr">
        <is>
          <t>D&amp;A (% of Revenue)</t>
        </is>
      </c>
      <c r="B33" s="14" t="n"/>
      <c r="C33" s="14" t="n"/>
      <c r="D33" s="14" t="n"/>
      <c r="E33" s="14" t="n"/>
      <c r="F33" s="14" t="n"/>
      <c r="G33" s="23" t="n">
        <v>0.038</v>
      </c>
      <c r="H33" s="23" t="n">
        <v>0.035</v>
      </c>
      <c r="I33" s="23" t="n">
        <v>0.032</v>
      </c>
      <c r="J33" s="23" t="n">
        <v>0.03</v>
      </c>
      <c r="K33" s="23" t="n">
        <v>0.028</v>
      </c>
      <c r="L33" s="14" t="n"/>
      <c r="M33" s="14" t="n"/>
      <c r="N33" s="15" t="n"/>
    </row>
    <row r="34">
      <c r="A34" s="22" t="inlineStr">
        <is>
          <t>CapEx (% of Revenue)</t>
        </is>
      </c>
      <c r="B34" s="14" t="n"/>
      <c r="C34" s="14" t="n"/>
      <c r="D34" s="14" t="n"/>
      <c r="E34" s="14" t="n"/>
      <c r="F34" s="14" t="n"/>
      <c r="G34" s="23" t="n">
        <v>0.092</v>
      </c>
      <c r="H34" s="23" t="n">
        <v>0.075</v>
      </c>
      <c r="I34" s="23" t="n">
        <v>0.06</v>
      </c>
      <c r="J34" s="23" t="n">
        <v>0.05</v>
      </c>
      <c r="K34" s="23" t="n">
        <v>0.045</v>
      </c>
      <c r="L34" s="14" t="n"/>
      <c r="M34" s="14" t="n"/>
      <c r="N34" s="15" t="n"/>
    </row>
    <row r="35">
      <c r="A35" s="22" t="inlineStr">
        <is>
          <t>NWC Change (% of Δ Revenue)</t>
        </is>
      </c>
      <c r="B35" s="14" t="n"/>
      <c r="C35" s="14" t="n"/>
      <c r="D35" s="14" t="n"/>
      <c r="E35" s="14" t="n"/>
      <c r="F35" s="14" t="n"/>
      <c r="G35" s="23" t="n">
        <v>0.025</v>
      </c>
      <c r="H35" s="23" t="n">
        <v>0.025</v>
      </c>
      <c r="I35" s="23" t="n">
        <v>0.02</v>
      </c>
      <c r="J35" s="23" t="n">
        <v>0.02</v>
      </c>
      <c r="K35" s="23" t="n">
        <v>0.015</v>
      </c>
      <c r="L35" s="14" t="n"/>
      <c r="M35" s="14" t="n"/>
      <c r="N35" s="15" t="n"/>
    </row>
    <row r="36">
      <c r="A36" s="22" t="inlineStr">
        <is>
          <t>Terminal Growth Rate (%)</t>
        </is>
      </c>
      <c r="B36" s="14" t="n"/>
      <c r="C36" s="14" t="n"/>
      <c r="D36" s="14" t="n"/>
      <c r="E36" s="14" t="n"/>
      <c r="F36" s="14" t="n"/>
      <c r="G36" s="23" t="n">
        <v>0.03</v>
      </c>
      <c r="H36" s="14" t="n"/>
      <c r="I36" s="14" t="n"/>
      <c r="J36" s="14" t="n"/>
      <c r="K36" s="14" t="n"/>
      <c r="L36" s="14" t="n"/>
      <c r="M36" s="14" t="n"/>
      <c r="N36" s="15" t="n"/>
    </row>
    <row r="37">
      <c r="A37" s="24" t="inlineStr">
        <is>
          <t>WACC (%)</t>
        </is>
      </c>
      <c r="B37" s="20" t="n"/>
      <c r="C37" s="20" t="n"/>
      <c r="D37" s="20" t="n"/>
      <c r="E37" s="20" t="n"/>
      <c r="F37" s="20" t="n"/>
      <c r="G37" s="25" t="n">
        <v>0.105</v>
      </c>
      <c r="H37" s="20" t="n"/>
      <c r="I37" s="20" t="n"/>
      <c r="J37" s="20" t="n"/>
      <c r="K37" s="20" t="n"/>
      <c r="L37" s="20" t="n"/>
      <c r="M37" s="20" t="n"/>
      <c r="N37" s="21" t="n"/>
    </row>
    <row r="39">
      <c r="A39" s="6" t="inlineStr">
        <is>
          <t>BULL CASE ASSUMPTIONS</t>
        </is>
      </c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8" t="n"/>
    </row>
    <row r="40">
      <c r="A40" s="9" t="inlineStr">
        <is>
          <t>Assumption</t>
        </is>
      </c>
      <c r="B40" s="10" t="n"/>
      <c r="C40" s="10" t="n"/>
      <c r="D40" s="10" t="n"/>
      <c r="E40" s="10" t="n"/>
      <c r="F40" s="10" t="n"/>
      <c r="G40" s="10" t="inlineStr">
        <is>
          <t>FY2026E</t>
        </is>
      </c>
      <c r="H40" s="10" t="inlineStr">
        <is>
          <t>FY2027E</t>
        </is>
      </c>
      <c r="I40" s="10" t="inlineStr">
        <is>
          <t>FY2028E</t>
        </is>
      </c>
      <c r="J40" s="10" t="inlineStr">
        <is>
          <t>FY2029E</t>
        </is>
      </c>
      <c r="K40" s="10" t="inlineStr">
        <is>
          <t>FY2030E</t>
        </is>
      </c>
      <c r="L40" s="10" t="n"/>
      <c r="M40" s="10" t="n"/>
      <c r="N40" s="11" t="n"/>
    </row>
    <row r="41">
      <c r="A41" s="22" t="inlineStr">
        <is>
          <t>Revenue Growth (%)</t>
        </is>
      </c>
      <c r="B41" s="14" t="n"/>
      <c r="C41" s="14" t="n"/>
      <c r="D41" s="14" t="n"/>
      <c r="E41" s="14" t="n"/>
      <c r="F41" s="14" t="n"/>
      <c r="G41" s="23" t="n">
        <v>0.04</v>
      </c>
      <c r="H41" s="23" t="n">
        <v>0.2</v>
      </c>
      <c r="I41" s="23" t="n">
        <v>0.22</v>
      </c>
      <c r="J41" s="23" t="n">
        <v>0.2</v>
      </c>
      <c r="K41" s="23" t="n">
        <v>0.16</v>
      </c>
      <c r="L41" s="14" t="n"/>
      <c r="M41" s="14" t="n"/>
      <c r="N41" s="15" t="n"/>
    </row>
    <row r="42">
      <c r="A42" s="22" t="inlineStr">
        <is>
          <t>Gross Margin (%)</t>
        </is>
      </c>
      <c r="B42" s="14" t="n"/>
      <c r="C42" s="14" t="n"/>
      <c r="D42" s="14" t="n"/>
      <c r="E42" s="14" t="n"/>
      <c r="F42" s="14" t="n"/>
      <c r="G42" s="23" t="n">
        <v>0.3</v>
      </c>
      <c r="H42" s="23" t="n">
        <v>0.36</v>
      </c>
      <c r="I42" s="23" t="n">
        <v>0.38</v>
      </c>
      <c r="J42" s="23" t="n">
        <v>0.39</v>
      </c>
      <c r="K42" s="23" t="n">
        <v>0.4</v>
      </c>
      <c r="L42" s="14" t="n"/>
      <c r="M42" s="14" t="n"/>
      <c r="N42" s="15" t="n"/>
    </row>
    <row r="43">
      <c r="A43" s="22" t="inlineStr">
        <is>
          <t>EBIT Margin (%)</t>
        </is>
      </c>
      <c r="B43" s="14" t="n"/>
      <c r="C43" s="14" t="n"/>
      <c r="D43" s="14" t="n"/>
      <c r="E43" s="14" t="n"/>
      <c r="F43" s="14" t="n"/>
      <c r="G43" s="23" t="n">
        <v>0.02</v>
      </c>
      <c r="H43" s="23" t="n">
        <v>0.09</v>
      </c>
      <c r="I43" s="23" t="n">
        <v>0.13</v>
      </c>
      <c r="J43" s="23" t="n">
        <v>0.15</v>
      </c>
      <c r="K43" s="23" t="n">
        <v>0.17</v>
      </c>
      <c r="L43" s="14" t="n"/>
      <c r="M43" s="14" t="n"/>
      <c r="N43" s="15" t="n"/>
    </row>
    <row r="44">
      <c r="A44" s="22" t="inlineStr">
        <is>
          <t>Tax Rate (%)</t>
        </is>
      </c>
      <c r="B44" s="14" t="n"/>
      <c r="C44" s="14" t="n"/>
      <c r="D44" s="14" t="n"/>
      <c r="E44" s="14" t="n"/>
      <c r="F44" s="14" t="n"/>
      <c r="G44" s="23" t="n">
        <v>0.24</v>
      </c>
      <c r="H44" s="14" t="n"/>
      <c r="I44" s="14" t="n"/>
      <c r="J44" s="14" t="n"/>
      <c r="K44" s="14" t="n"/>
      <c r="L44" s="14" t="n"/>
      <c r="M44" s="14" t="n"/>
      <c r="N44" s="15" t="n"/>
    </row>
    <row r="45">
      <c r="A45" s="22" t="inlineStr">
        <is>
          <t>D&amp;A (% of Revenue)</t>
        </is>
      </c>
      <c r="B45" s="14" t="n"/>
      <c r="C45" s="14" t="n"/>
      <c r="D45" s="14" t="n"/>
      <c r="E45" s="14" t="n"/>
      <c r="F45" s="14" t="n"/>
      <c r="G45" s="23" t="n">
        <v>0.036</v>
      </c>
      <c r="H45" s="23" t="n">
        <v>0.032</v>
      </c>
      <c r="I45" s="23" t="n">
        <v>0.03</v>
      </c>
      <c r="J45" s="23" t="n">
        <v>0.028</v>
      </c>
      <c r="K45" s="23" t="n">
        <v>0.026</v>
      </c>
      <c r="L45" s="14" t="n"/>
      <c r="M45" s="14" t="n"/>
      <c r="N45" s="15" t="n"/>
    </row>
    <row r="46">
      <c r="A46" s="22" t="inlineStr">
        <is>
          <t>CapEx (% of Revenue)</t>
        </is>
      </c>
      <c r="B46" s="14" t="n"/>
      <c r="C46" s="14" t="n"/>
      <c r="D46" s="14" t="n"/>
      <c r="E46" s="14" t="n"/>
      <c r="F46" s="14" t="n"/>
      <c r="G46" s="23" t="n">
        <v>0.09</v>
      </c>
      <c r="H46" s="23" t="n">
        <v>0.068</v>
      </c>
      <c r="I46" s="23" t="n">
        <v>0.055</v>
      </c>
      <c r="J46" s="23" t="n">
        <v>0.047</v>
      </c>
      <c r="K46" s="23" t="n">
        <v>0.042</v>
      </c>
      <c r="L46" s="14" t="n"/>
      <c r="M46" s="14" t="n"/>
      <c r="N46" s="15" t="n"/>
    </row>
    <row r="47">
      <c r="A47" s="22" t="inlineStr">
        <is>
          <t>NWC Change (% of Δ Revenue)</t>
        </is>
      </c>
      <c r="B47" s="14" t="n"/>
      <c r="C47" s="14" t="n"/>
      <c r="D47" s="14" t="n"/>
      <c r="E47" s="14" t="n"/>
      <c r="F47" s="14" t="n"/>
      <c r="G47" s="23" t="n">
        <v>0.02</v>
      </c>
      <c r="H47" s="23" t="n">
        <v>0.02</v>
      </c>
      <c r="I47" s="23" t="n">
        <v>0.018</v>
      </c>
      <c r="J47" s="23" t="n">
        <v>0.015</v>
      </c>
      <c r="K47" s="23" t="n">
        <v>0.012</v>
      </c>
      <c r="L47" s="14" t="n"/>
      <c r="M47" s="14" t="n"/>
      <c r="N47" s="15" t="n"/>
    </row>
    <row r="48">
      <c r="A48" s="22" t="inlineStr">
        <is>
          <t>Terminal Growth Rate (%)</t>
        </is>
      </c>
      <c r="B48" s="14" t="n"/>
      <c r="C48" s="14" t="n"/>
      <c r="D48" s="14" t="n"/>
      <c r="E48" s="14" t="n"/>
      <c r="F48" s="14" t="n"/>
      <c r="G48" s="23" t="n">
        <v>0.035</v>
      </c>
      <c r="H48" s="14" t="n"/>
      <c r="I48" s="14" t="n"/>
      <c r="J48" s="14" t="n"/>
      <c r="K48" s="14" t="n"/>
      <c r="L48" s="14" t="n"/>
      <c r="M48" s="14" t="n"/>
      <c r="N48" s="15" t="n"/>
    </row>
    <row r="49">
      <c r="A49" s="24" t="inlineStr">
        <is>
          <t>WACC (%)</t>
        </is>
      </c>
      <c r="B49" s="20" t="n"/>
      <c r="C49" s="20" t="n"/>
      <c r="D49" s="20" t="n"/>
      <c r="E49" s="20" t="n"/>
      <c r="F49" s="20" t="n"/>
      <c r="G49" s="25" t="n">
        <v>0.095</v>
      </c>
      <c r="H49" s="20" t="n"/>
      <c r="I49" s="20" t="n"/>
      <c r="J49" s="20" t="n"/>
      <c r="K49" s="20" t="n"/>
      <c r="L49" s="20" t="n"/>
      <c r="M49" s="20" t="n"/>
      <c r="N49" s="21" t="n"/>
    </row>
    <row r="51">
      <c r="A51" s="6" t="inlineStr">
        <is>
          <t>SELECTED CASE ASSUMPTIONS  (auto-updates with Scenario Selector above)</t>
        </is>
      </c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8" t="n"/>
    </row>
    <row r="52">
      <c r="A52" s="26" t="inlineStr">
        <is>
          <t>Revenue Growth — Selected (%)</t>
        </is>
      </c>
      <c r="B52" s="14" t="n"/>
      <c r="C52" s="14" t="n"/>
      <c r="D52" s="14" t="n"/>
      <c r="E52" s="14" t="n"/>
      <c r="F52" s="14" t="n"/>
      <c r="G52" s="27">
        <f>INDEX(G17:G41,1,$B$5)</f>
        <v/>
      </c>
      <c r="H52" s="27">
        <f>INDEX(H17:H41,1,$B$5)</f>
        <v/>
      </c>
      <c r="I52" s="27">
        <f>INDEX(I17:I41,1,$B$5)</f>
        <v/>
      </c>
      <c r="J52" s="27">
        <f>INDEX(J17:J41,1,$B$5)</f>
        <v/>
      </c>
      <c r="K52" s="27">
        <f>INDEX(K17:K41,1,$B$5)</f>
        <v/>
      </c>
      <c r="L52" s="14" t="n"/>
      <c r="M52" s="14" t="n"/>
      <c r="N52" s="15" t="n"/>
    </row>
    <row r="53">
      <c r="A53" s="26" t="inlineStr">
        <is>
          <t>Gross Margin — Selected (%)</t>
        </is>
      </c>
      <c r="B53" s="14" t="n"/>
      <c r="C53" s="14" t="n"/>
      <c r="D53" s="14" t="n"/>
      <c r="E53" s="14" t="n"/>
      <c r="F53" s="14" t="n"/>
      <c r="G53" s="27">
        <f>INDEX(G18:G42,1,$B$5)</f>
        <v/>
      </c>
      <c r="H53" s="27">
        <f>INDEX(H18:H42,1,$B$5)</f>
        <v/>
      </c>
      <c r="I53" s="27">
        <f>INDEX(I18:I42,1,$B$5)</f>
        <v/>
      </c>
      <c r="J53" s="27">
        <f>INDEX(J18:J42,1,$B$5)</f>
        <v/>
      </c>
      <c r="K53" s="27">
        <f>INDEX(K18:K42,1,$B$5)</f>
        <v/>
      </c>
      <c r="L53" s="14" t="n"/>
      <c r="M53" s="14" t="n"/>
      <c r="N53" s="15" t="n"/>
    </row>
    <row r="54">
      <c r="A54" s="26" t="inlineStr">
        <is>
          <t>EBIT Margin — Selected (%)</t>
        </is>
      </c>
      <c r="B54" s="14" t="n"/>
      <c r="C54" s="14" t="n"/>
      <c r="D54" s="14" t="n"/>
      <c r="E54" s="14" t="n"/>
      <c r="F54" s="14" t="n"/>
      <c r="G54" s="27">
        <f>INDEX(G19:G43,1,$B$5)</f>
        <v/>
      </c>
      <c r="H54" s="27">
        <f>INDEX(H19:H43,1,$B$5)</f>
        <v/>
      </c>
      <c r="I54" s="27">
        <f>INDEX(I19:I43,1,$B$5)</f>
        <v/>
      </c>
      <c r="J54" s="27">
        <f>INDEX(J19:J43,1,$B$5)</f>
        <v/>
      </c>
      <c r="K54" s="27">
        <f>INDEX(K19:K43,1,$B$5)</f>
        <v/>
      </c>
      <c r="L54" s="14" t="n"/>
      <c r="M54" s="14" t="n"/>
      <c r="N54" s="15" t="n"/>
    </row>
    <row r="55">
      <c r="A55" s="26" t="inlineStr">
        <is>
          <t>Tax Rate — Selected (%)</t>
        </is>
      </c>
      <c r="B55" s="14" t="n"/>
      <c r="C55" s="14" t="n"/>
      <c r="D55" s="14" t="n"/>
      <c r="E55" s="14" t="n"/>
      <c r="F55" s="14" t="n"/>
      <c r="G55" s="27">
        <f>INDEX(G20:G44,1,$B$5)</f>
        <v/>
      </c>
      <c r="H55" s="14" t="n"/>
      <c r="I55" s="14" t="n"/>
      <c r="J55" s="14" t="n"/>
      <c r="K55" s="14" t="n"/>
      <c r="L55" s="14" t="n"/>
      <c r="M55" s="14" t="n"/>
      <c r="N55" s="15" t="n"/>
    </row>
    <row r="56">
      <c r="A56" s="26" t="inlineStr">
        <is>
          <t>D&amp;A % Rev — Selected</t>
        </is>
      </c>
      <c r="B56" s="14" t="n"/>
      <c r="C56" s="14" t="n"/>
      <c r="D56" s="14" t="n"/>
      <c r="E56" s="14" t="n"/>
      <c r="F56" s="14" t="n"/>
      <c r="G56" s="27">
        <f>INDEX(G21:G45,1,$B$5)</f>
        <v/>
      </c>
      <c r="H56" s="27">
        <f>INDEX(H21:H45,1,$B$5)</f>
        <v/>
      </c>
      <c r="I56" s="27">
        <f>INDEX(I21:I45,1,$B$5)</f>
        <v/>
      </c>
      <c r="J56" s="27">
        <f>INDEX(J21:J45,1,$B$5)</f>
        <v/>
      </c>
      <c r="K56" s="27">
        <f>INDEX(K21:K45,1,$B$5)</f>
        <v/>
      </c>
      <c r="L56" s="14" t="n"/>
      <c r="M56" s="14" t="n"/>
      <c r="N56" s="15" t="n"/>
    </row>
    <row r="57">
      <c r="A57" s="26" t="inlineStr">
        <is>
          <t>CapEx % Rev — Selected</t>
        </is>
      </c>
      <c r="B57" s="14" t="n"/>
      <c r="C57" s="14" t="n"/>
      <c r="D57" s="14" t="n"/>
      <c r="E57" s="14" t="n"/>
      <c r="F57" s="14" t="n"/>
      <c r="G57" s="27">
        <f>INDEX(G22:G46,1,$B$5)</f>
        <v/>
      </c>
      <c r="H57" s="27">
        <f>INDEX(H22:H46,1,$B$5)</f>
        <v/>
      </c>
      <c r="I57" s="27">
        <f>INDEX(I22:I46,1,$B$5)</f>
        <v/>
      </c>
      <c r="J57" s="27">
        <f>INDEX(J22:J46,1,$B$5)</f>
        <v/>
      </c>
      <c r="K57" s="27">
        <f>INDEX(K22:K46,1,$B$5)</f>
        <v/>
      </c>
      <c r="L57" s="14" t="n"/>
      <c r="M57" s="14" t="n"/>
      <c r="N57" s="15" t="n"/>
    </row>
    <row r="58">
      <c r="A58" s="26" t="inlineStr">
        <is>
          <t>NWC Δ% — Selected</t>
        </is>
      </c>
      <c r="B58" s="14" t="n"/>
      <c r="C58" s="14" t="n"/>
      <c r="D58" s="14" t="n"/>
      <c r="E58" s="14" t="n"/>
      <c r="F58" s="14" t="n"/>
      <c r="G58" s="27">
        <f>INDEX(G23:G47,1,$B$5)</f>
        <v/>
      </c>
      <c r="H58" s="27">
        <f>INDEX(H23:H47,1,$B$5)</f>
        <v/>
      </c>
      <c r="I58" s="27">
        <f>INDEX(I23:I47,1,$B$5)</f>
        <v/>
      </c>
      <c r="J58" s="27">
        <f>INDEX(J23:J47,1,$B$5)</f>
        <v/>
      </c>
      <c r="K58" s="27">
        <f>INDEX(K23:K47,1,$B$5)</f>
        <v/>
      </c>
      <c r="L58" s="14" t="n"/>
      <c r="M58" s="14" t="n"/>
      <c r="N58" s="15" t="n"/>
    </row>
    <row r="59">
      <c r="A59" s="26" t="inlineStr">
        <is>
          <t>Terminal Growth Rate — Selected (%)</t>
        </is>
      </c>
      <c r="B59" s="14" t="n"/>
      <c r="C59" s="14" t="n"/>
      <c r="D59" s="14" t="n"/>
      <c r="E59" s="14" t="n"/>
      <c r="F59" s="14" t="n"/>
      <c r="G59" s="27">
        <f>INDEX(G24:G48,1,$B$5)</f>
        <v/>
      </c>
      <c r="H59" s="14" t="n"/>
      <c r="I59" s="14" t="n"/>
      <c r="J59" s="14" t="n"/>
      <c r="K59" s="14" t="n"/>
      <c r="L59" s="14" t="n"/>
      <c r="M59" s="14" t="n"/>
      <c r="N59" s="15" t="n"/>
    </row>
    <row r="60">
      <c r="A60" s="28" t="inlineStr">
        <is>
          <t>WACC — Selected</t>
        </is>
      </c>
      <c r="B60" s="20" t="n"/>
      <c r="C60" s="20" t="n"/>
      <c r="D60" s="20" t="n"/>
      <c r="E60" s="20" t="n"/>
      <c r="F60" s="20" t="n"/>
      <c r="G60" s="29">
        <f>INDEX(G25:G49,1,$B$5)</f>
        <v/>
      </c>
      <c r="H60" s="20" t="n"/>
      <c r="I60" s="20" t="n"/>
      <c r="J60" s="20" t="n"/>
      <c r="K60" s="20" t="n"/>
      <c r="L60" s="20" t="n"/>
      <c r="M60" s="20" t="n"/>
      <c r="N60" s="21" t="n"/>
    </row>
    <row r="62">
      <c r="A62" s="6" t="inlineStr">
        <is>
          <t>INCOME STATEMENT  ($M)</t>
        </is>
      </c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8" t="n"/>
    </row>
    <row r="63">
      <c r="A63" s="9" t="inlineStr"/>
      <c r="B63" s="10" t="inlineStr">
        <is>
          <t>FY2021A</t>
        </is>
      </c>
      <c r="C63" s="10" t="inlineStr">
        <is>
          <t>FY2022A</t>
        </is>
      </c>
      <c r="D63" s="10" t="inlineStr">
        <is>
          <t>FY2023A</t>
        </is>
      </c>
      <c r="E63" s="10" t="inlineStr">
        <is>
          <t>FY2024A</t>
        </is>
      </c>
      <c r="F63" s="10" t="inlineStr">
        <is>
          <t>FY2025A</t>
        </is>
      </c>
      <c r="G63" s="10" t="inlineStr">
        <is>
          <t>FY2026E</t>
        </is>
      </c>
      <c r="H63" s="10" t="inlineStr">
        <is>
          <t>FY2027E</t>
        </is>
      </c>
      <c r="I63" s="10" t="inlineStr">
        <is>
          <t>FY2028E</t>
        </is>
      </c>
      <c r="J63" s="10" t="inlineStr">
        <is>
          <t>FY2029E</t>
        </is>
      </c>
      <c r="K63" s="10" t="inlineStr">
        <is>
          <t>FY2030E</t>
        </is>
      </c>
      <c r="L63" s="10" t="n"/>
      <c r="M63" s="10" t="n"/>
      <c r="N63" s="11" t="n"/>
    </row>
    <row r="64">
      <c r="A64" s="30" t="inlineStr">
        <is>
          <t>Net Revenue ($M)</t>
        </is>
      </c>
      <c r="B64" s="16" t="n">
        <v>260.9</v>
      </c>
      <c r="C64" s="16" t="n">
        <v>362.1</v>
      </c>
      <c r="D64" s="16" t="n">
        <v>471.9</v>
      </c>
      <c r="E64" s="16" t="n">
        <v>606.3</v>
      </c>
      <c r="F64" s="16" t="n">
        <v>759.4</v>
      </c>
      <c r="G64" s="17">
        <f>F64*(1+G52)</f>
        <v/>
      </c>
      <c r="H64" s="17">
        <f>G64*(1+H52)</f>
        <v/>
      </c>
      <c r="I64" s="17">
        <f>H64*(1+I52)</f>
        <v/>
      </c>
      <c r="J64" s="17">
        <f>I64*(1+J52)</f>
        <v/>
      </c>
      <c r="K64" s="17">
        <f>J64*(1+K52)</f>
        <v/>
      </c>
      <c r="L64" s="14" t="n"/>
      <c r="M64" s="14" t="n"/>
      <c r="N64" s="15" t="n"/>
    </row>
    <row r="65">
      <c r="A65" s="26" t="inlineStr">
        <is>
          <t xml:space="preserve">  % Growth</t>
        </is>
      </c>
      <c r="B65" s="31" t="inlineStr">
        <is>
          <t>—</t>
        </is>
      </c>
      <c r="C65" s="32">
        <f>C64/B64-1</f>
        <v/>
      </c>
      <c r="D65" s="32">
        <f>D64/C64-1</f>
        <v/>
      </c>
      <c r="E65" s="32">
        <f>E64/D64-1</f>
        <v/>
      </c>
      <c r="F65" s="32">
        <f>F64/E64-1</f>
        <v/>
      </c>
      <c r="G65" s="32">
        <f>G64/F64-1</f>
        <v/>
      </c>
      <c r="H65" s="32">
        <f>H64/G64-1</f>
        <v/>
      </c>
      <c r="I65" s="32">
        <f>I64/H64-1</f>
        <v/>
      </c>
      <c r="J65" s="32">
        <f>J64/I64-1</f>
        <v/>
      </c>
      <c r="K65" s="32">
        <f>K64/J64-1</f>
        <v/>
      </c>
      <c r="L65" s="14" t="n"/>
      <c r="M65" s="14" t="n"/>
      <c r="N65" s="15" t="n"/>
    </row>
    <row r="66">
      <c r="A66" s="12" t="n"/>
      <c r="B66" s="14" t="n"/>
      <c r="C66" s="14" t="n"/>
      <c r="D66" s="14" t="n"/>
      <c r="E66" s="14" t="n"/>
      <c r="F66" s="14" t="n"/>
      <c r="G66" s="14" t="n"/>
      <c r="H66" s="14" t="n"/>
      <c r="I66" s="14" t="n"/>
      <c r="J66" s="14" t="n"/>
      <c r="K66" s="14" t="n"/>
      <c r="L66" s="14" t="n"/>
      <c r="M66" s="14" t="n"/>
      <c r="N66" s="15" t="n"/>
    </row>
    <row r="67">
      <c r="A67" s="30" t="inlineStr">
        <is>
          <t>Gross Profit ($M)</t>
        </is>
      </c>
      <c r="B67" s="16" t="n">
        <v>82.90000000000001</v>
      </c>
      <c r="C67" s="16" t="n">
        <v>110.5</v>
      </c>
      <c r="D67" s="16" t="n">
        <v>162.3</v>
      </c>
      <c r="E67" s="16" t="n">
        <v>229.9</v>
      </c>
      <c r="F67" s="16" t="n">
        <v>285.7</v>
      </c>
      <c r="G67" s="17">
        <f>G64*G53</f>
        <v/>
      </c>
      <c r="H67" s="17">
        <f>H64*H53</f>
        <v/>
      </c>
      <c r="I67" s="17">
        <f>I64*I53</f>
        <v/>
      </c>
      <c r="J67" s="17">
        <f>J64*J53</f>
        <v/>
      </c>
      <c r="K67" s="17">
        <f>K64*K53</f>
        <v/>
      </c>
      <c r="L67" s="14" t="n"/>
      <c r="M67" s="14" t="n"/>
      <c r="N67" s="15" t="n"/>
    </row>
    <row r="68">
      <c r="A68" s="26" t="inlineStr">
        <is>
          <t xml:space="preserve">  % Gross Margin</t>
        </is>
      </c>
      <c r="B68" s="32">
        <f>B67/B64</f>
        <v/>
      </c>
      <c r="C68" s="32">
        <f>C67/C64</f>
        <v/>
      </c>
      <c r="D68" s="32">
        <f>D67/D64</f>
        <v/>
      </c>
      <c r="E68" s="32">
        <f>E67/E64</f>
        <v/>
      </c>
      <c r="F68" s="32">
        <f>F67/F64</f>
        <v/>
      </c>
      <c r="G68" s="32">
        <f>G67/G64</f>
        <v/>
      </c>
      <c r="H68" s="32">
        <f>H67/H64</f>
        <v/>
      </c>
      <c r="I68" s="32">
        <f>I67/I64</f>
        <v/>
      </c>
      <c r="J68" s="32">
        <f>J67/J64</f>
        <v/>
      </c>
      <c r="K68" s="32">
        <f>K67/K64</f>
        <v/>
      </c>
      <c r="L68" s="14" t="n"/>
      <c r="M68" s="14" t="n"/>
      <c r="N68" s="15" t="n"/>
    </row>
    <row r="69">
      <c r="A69" s="12" t="n"/>
      <c r="B69" s="14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5" t="n"/>
    </row>
    <row r="70">
      <c r="A70" s="33" t="inlineStr">
        <is>
          <t>SG&amp;A / Operating Expenses ($M)</t>
        </is>
      </c>
      <c r="B70" s="16" t="n">
        <v>82.84999999999999</v>
      </c>
      <c r="C70" s="16" t="n">
        <v>106.15</v>
      </c>
      <c r="D70" s="16" t="n">
        <v>129.07</v>
      </c>
      <c r="E70" s="16" t="n">
        <v>166.37</v>
      </c>
      <c r="F70" s="16" t="n">
        <v>197.31</v>
      </c>
      <c r="G70" s="17">
        <f>G67-G73</f>
        <v/>
      </c>
      <c r="H70" s="17">
        <f>H67-H73</f>
        <v/>
      </c>
      <c r="I70" s="17">
        <f>I67-I73</f>
        <v/>
      </c>
      <c r="J70" s="17">
        <f>J67-J73</f>
        <v/>
      </c>
      <c r="K70" s="17">
        <f>K67-K73</f>
        <v/>
      </c>
      <c r="L70" s="14" t="n"/>
      <c r="M70" s="14" t="n"/>
      <c r="N70" s="15" t="n"/>
    </row>
    <row r="71">
      <c r="A71" s="26" t="inlineStr">
        <is>
          <t xml:space="preserve">  % Revenue</t>
        </is>
      </c>
      <c r="B71" s="32">
        <f>B70/B64</f>
        <v/>
      </c>
      <c r="C71" s="32">
        <f>C70/C64</f>
        <v/>
      </c>
      <c r="D71" s="32">
        <f>D70/D64</f>
        <v/>
      </c>
      <c r="E71" s="32">
        <f>E70/E64</f>
        <v/>
      </c>
      <c r="F71" s="32">
        <f>F70/F64</f>
        <v/>
      </c>
      <c r="G71" s="32">
        <f>G70/G64</f>
        <v/>
      </c>
      <c r="H71" s="32">
        <f>H70/H64</f>
        <v/>
      </c>
      <c r="I71" s="32">
        <f>I70/I64</f>
        <v/>
      </c>
      <c r="J71" s="32">
        <f>J70/J64</f>
        <v/>
      </c>
      <c r="K71" s="32">
        <f>K70/K64</f>
        <v/>
      </c>
      <c r="L71" s="14" t="n"/>
      <c r="M71" s="14" t="n"/>
      <c r="N71" s="15" t="n"/>
    </row>
    <row r="72">
      <c r="A72" s="12" t="n"/>
      <c r="B72" s="14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5" t="n"/>
    </row>
    <row r="73">
      <c r="A73" s="30" t="inlineStr">
        <is>
          <t>EBIT ($M)</t>
        </is>
      </c>
      <c r="B73" s="16" t="n">
        <v>0.05</v>
      </c>
      <c r="C73" s="16" t="n">
        <v>4.3</v>
      </c>
      <c r="D73" s="16" t="n">
        <v>33.25</v>
      </c>
      <c r="E73" s="16" t="n">
        <v>63.55</v>
      </c>
      <c r="F73" s="16" t="n">
        <v>88.37</v>
      </c>
      <c r="G73" s="17">
        <f>G64*G54</f>
        <v/>
      </c>
      <c r="H73" s="17">
        <f>H64*H54</f>
        <v/>
      </c>
      <c r="I73" s="17">
        <f>I64*I54</f>
        <v/>
      </c>
      <c r="J73" s="17">
        <f>J64*J54</f>
        <v/>
      </c>
      <c r="K73" s="17">
        <f>K64*K54</f>
        <v/>
      </c>
      <c r="L73" s="14" t="n"/>
      <c r="M73" s="14" t="n"/>
      <c r="N73" s="15" t="n"/>
    </row>
    <row r="74">
      <c r="A74" s="26" t="inlineStr">
        <is>
          <t xml:space="preserve">  % EBIT Margin</t>
        </is>
      </c>
      <c r="B74" s="32">
        <f>IF(B64=0,0,B73/B64)</f>
        <v/>
      </c>
      <c r="C74" s="32">
        <f>IF(C64=0,0,C73/C64)</f>
        <v/>
      </c>
      <c r="D74" s="32">
        <f>IF(D64=0,0,D73/D64)</f>
        <v/>
      </c>
      <c r="E74" s="32">
        <f>IF(E64=0,0,E73/E64)</f>
        <v/>
      </c>
      <c r="F74" s="32">
        <f>IF(F64=0,0,F73/F64)</f>
        <v/>
      </c>
      <c r="G74" s="32">
        <f>IF(G64=0,0,G73/G64)</f>
        <v/>
      </c>
      <c r="H74" s="32">
        <f>IF(H64=0,0,H73/H64)</f>
        <v/>
      </c>
      <c r="I74" s="32">
        <f>IF(I64=0,0,I73/I64)</f>
        <v/>
      </c>
      <c r="J74" s="32">
        <f>IF(J64=0,0,J73/J64)</f>
        <v/>
      </c>
      <c r="K74" s="32">
        <f>IF(K64=0,0,K73/K64)</f>
        <v/>
      </c>
      <c r="L74" s="14" t="n"/>
      <c r="M74" s="14" t="n"/>
      <c r="N74" s="15" t="n"/>
    </row>
    <row r="75">
      <c r="A75" s="12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5" t="n"/>
    </row>
    <row r="76">
      <c r="A76" s="33" t="inlineStr">
        <is>
          <t>Income Tax ($M)</t>
        </is>
      </c>
      <c r="B76" s="16" t="n">
        <v>0</v>
      </c>
      <c r="C76" s="16" t="n">
        <v>1.6</v>
      </c>
      <c r="D76" s="16" t="n">
        <v>6.64</v>
      </c>
      <c r="E76" s="16" t="n">
        <v>14.15</v>
      </c>
      <c r="F76" s="16" t="n">
        <v>24.98</v>
      </c>
      <c r="G76" s="17">
        <f>MAX(0,G73*$G$55)</f>
        <v/>
      </c>
      <c r="H76" s="17">
        <f>MAX(0,H73*$G$55)</f>
        <v/>
      </c>
      <c r="I76" s="17">
        <f>MAX(0,I73*$G$55)</f>
        <v/>
      </c>
      <c r="J76" s="17">
        <f>MAX(0,J73*$G$55)</f>
        <v/>
      </c>
      <c r="K76" s="17">
        <f>MAX(0,K73*$G$55)</f>
        <v/>
      </c>
      <c r="L76" s="14" t="n"/>
      <c r="M76" s="14" t="n"/>
      <c r="N76" s="15" t="n"/>
    </row>
    <row r="77">
      <c r="A77" s="26" t="inlineStr">
        <is>
          <t xml:space="preserve">  Effective Tax Rate</t>
        </is>
      </c>
      <c r="B77" s="32">
        <f>IF(B73=0,0,B76/B73)</f>
        <v/>
      </c>
      <c r="C77" s="32">
        <f>IF(C73=0,0,C76/C73)</f>
        <v/>
      </c>
      <c r="D77" s="32">
        <f>IF(D73=0,0,D76/D73)</f>
        <v/>
      </c>
      <c r="E77" s="32">
        <f>IF(E73=0,0,E76/E73)</f>
        <v/>
      </c>
      <c r="F77" s="32">
        <f>IF(F73=0,0,F76/F73)</f>
        <v/>
      </c>
      <c r="G77" s="32">
        <f>IF(G73=0,0,G76/G73)</f>
        <v/>
      </c>
      <c r="H77" s="32">
        <f>IF(H73=0,0,H76/H73)</f>
        <v/>
      </c>
      <c r="I77" s="32">
        <f>IF(I73=0,0,I76/I73)</f>
        <v/>
      </c>
      <c r="J77" s="32">
        <f>IF(J73=0,0,J76/J73)</f>
        <v/>
      </c>
      <c r="K77" s="32">
        <f>IF(K73=0,0,K76/K73)</f>
        <v/>
      </c>
      <c r="L77" s="14" t="n"/>
      <c r="M77" s="14" t="n"/>
      <c r="N77" s="15" t="n"/>
    </row>
    <row r="78">
      <c r="A78" s="12" t="n"/>
      <c r="B78" s="14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5" t="n"/>
    </row>
    <row r="79">
      <c r="A79" s="34" t="inlineStr">
        <is>
          <t>NOPAT ($M)</t>
        </is>
      </c>
      <c r="B79" s="19" t="n">
        <v>0.05</v>
      </c>
      <c r="C79" s="19" t="n">
        <v>2.7</v>
      </c>
      <c r="D79" s="19" t="n">
        <v>26.61</v>
      </c>
      <c r="E79" s="19" t="n">
        <v>49.4</v>
      </c>
      <c r="F79" s="19" t="n">
        <v>63.39</v>
      </c>
      <c r="G79" s="35">
        <f>G73-G76</f>
        <v/>
      </c>
      <c r="H79" s="35">
        <f>H73-H76</f>
        <v/>
      </c>
      <c r="I79" s="35">
        <f>I73-I76</f>
        <v/>
      </c>
      <c r="J79" s="35">
        <f>J73-J76</f>
        <v/>
      </c>
      <c r="K79" s="35">
        <f>K73-K76</f>
        <v/>
      </c>
      <c r="L79" s="20" t="n"/>
      <c r="M79" s="20" t="n"/>
      <c r="N79" s="21" t="n"/>
    </row>
    <row r="81">
      <c r="A81" s="6" t="inlineStr">
        <is>
          <t>FREE CASH FLOW BUILD  ($M)</t>
        </is>
      </c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8" t="n"/>
    </row>
    <row r="82">
      <c r="A82" s="9" t="inlineStr"/>
      <c r="B82" s="10" t="inlineStr">
        <is>
          <t>FY2021A</t>
        </is>
      </c>
      <c r="C82" s="10" t="inlineStr">
        <is>
          <t>FY2022A</t>
        </is>
      </c>
      <c r="D82" s="10" t="inlineStr">
        <is>
          <t>FY2023A</t>
        </is>
      </c>
      <c r="E82" s="10" t="inlineStr">
        <is>
          <t>FY2024A</t>
        </is>
      </c>
      <c r="F82" s="10" t="inlineStr">
        <is>
          <t>FY2025A</t>
        </is>
      </c>
      <c r="G82" s="10" t="inlineStr">
        <is>
          <t>FY2026E</t>
        </is>
      </c>
      <c r="H82" s="10" t="inlineStr">
        <is>
          <t>FY2027E</t>
        </is>
      </c>
      <c r="I82" s="10" t="inlineStr">
        <is>
          <t>FY2028E</t>
        </is>
      </c>
      <c r="J82" s="10" t="inlineStr">
        <is>
          <t>FY2029E</t>
        </is>
      </c>
      <c r="K82" s="10" t="inlineStr">
        <is>
          <t>FY2030E</t>
        </is>
      </c>
      <c r="L82" s="10" t="n"/>
      <c r="M82" s="10" t="n"/>
      <c r="N82" s="11" t="n"/>
    </row>
    <row r="83">
      <c r="A83" s="30" t="inlineStr">
        <is>
          <t>NOPAT ($M)</t>
        </is>
      </c>
      <c r="B83" s="17">
        <f>B79</f>
        <v/>
      </c>
      <c r="C83" s="17">
        <f>C79</f>
        <v/>
      </c>
      <c r="D83" s="17">
        <f>D79</f>
        <v/>
      </c>
      <c r="E83" s="17">
        <f>E79</f>
        <v/>
      </c>
      <c r="F83" s="17">
        <f>F79</f>
        <v/>
      </c>
      <c r="G83" s="17">
        <f>G79</f>
        <v/>
      </c>
      <c r="H83" s="17">
        <f>H79</f>
        <v/>
      </c>
      <c r="I83" s="17">
        <f>I79</f>
        <v/>
      </c>
      <c r="J83" s="17">
        <f>J79</f>
        <v/>
      </c>
      <c r="K83" s="17">
        <f>K79</f>
        <v/>
      </c>
      <c r="L83" s="14" t="n"/>
      <c r="M83" s="14" t="n"/>
      <c r="N83" s="15" t="n"/>
    </row>
    <row r="84">
      <c r="A84" s="33" t="inlineStr">
        <is>
          <t>(+) D&amp;A ($M)</t>
        </is>
      </c>
      <c r="B84" s="16" t="n">
        <v>3.54</v>
      </c>
      <c r="C84" s="16" t="n">
        <v>5.44</v>
      </c>
      <c r="D84" s="16" t="n">
        <v>7.93</v>
      </c>
      <c r="E84" s="16" t="n">
        <v>13.09</v>
      </c>
      <c r="F84" s="16" t="n">
        <v>14.51</v>
      </c>
      <c r="G84" s="17">
        <f>G64*G56</f>
        <v/>
      </c>
      <c r="H84" s="17">
        <f>H64*H56</f>
        <v/>
      </c>
      <c r="I84" s="17">
        <f>I64*I56</f>
        <v/>
      </c>
      <c r="J84" s="17">
        <f>J64*J56</f>
        <v/>
      </c>
      <c r="K84" s="17">
        <f>K64*K56</f>
        <v/>
      </c>
      <c r="L84" s="14" t="n"/>
      <c r="M84" s="14" t="n"/>
      <c r="N84" s="15" t="n"/>
    </row>
    <row r="85">
      <c r="A85" s="26" t="inlineStr">
        <is>
          <t xml:space="preserve">  D&amp;A % Revenue</t>
        </is>
      </c>
      <c r="B85" s="32">
        <f>B84/B64</f>
        <v/>
      </c>
      <c r="C85" s="32">
        <f>C84/C64</f>
        <v/>
      </c>
      <c r="D85" s="32">
        <f>D84/D64</f>
        <v/>
      </c>
      <c r="E85" s="32">
        <f>E84/E64</f>
        <v/>
      </c>
      <c r="F85" s="32">
        <f>F84/F64</f>
        <v/>
      </c>
      <c r="G85" s="32">
        <f>G84/G64</f>
        <v/>
      </c>
      <c r="H85" s="32">
        <f>H84/H64</f>
        <v/>
      </c>
      <c r="I85" s="32">
        <f>I84/I64</f>
        <v/>
      </c>
      <c r="J85" s="32">
        <f>J84/J64</f>
        <v/>
      </c>
      <c r="K85" s="32">
        <f>K84/K64</f>
        <v/>
      </c>
      <c r="L85" s="14" t="n"/>
      <c r="M85" s="14" t="n"/>
      <c r="N85" s="15" t="n"/>
    </row>
    <row r="86">
      <c r="A86" s="33" t="inlineStr">
        <is>
          <t>(-) CapEx ($M)</t>
        </is>
      </c>
      <c r="B86" s="16" t="n">
        <v>16.71</v>
      </c>
      <c r="C86" s="16" t="n">
        <v>10.56</v>
      </c>
      <c r="D86" s="16" t="n">
        <v>11.54</v>
      </c>
      <c r="E86" s="16" t="n">
        <v>28.65</v>
      </c>
      <c r="F86" s="16" t="n">
        <v>81.95</v>
      </c>
      <c r="G86" s="17">
        <f>G64*G57</f>
        <v/>
      </c>
      <c r="H86" s="17">
        <f>H64*H57</f>
        <v/>
      </c>
      <c r="I86" s="17">
        <f>I64*I57</f>
        <v/>
      </c>
      <c r="J86" s="17">
        <f>J64*J57</f>
        <v/>
      </c>
      <c r="K86" s="17">
        <f>K64*K57</f>
        <v/>
      </c>
      <c r="L86" s="14" t="n"/>
      <c r="M86" s="14" t="n"/>
      <c r="N86" s="15" t="n"/>
    </row>
    <row r="87">
      <c r="A87" s="26" t="inlineStr">
        <is>
          <t xml:space="preserve">  CapEx % Revenue</t>
        </is>
      </c>
      <c r="B87" s="32">
        <f>B86/B64</f>
        <v/>
      </c>
      <c r="C87" s="32">
        <f>C86/C64</f>
        <v/>
      </c>
      <c r="D87" s="32">
        <f>D86/D64</f>
        <v/>
      </c>
      <c r="E87" s="32">
        <f>E86/E64</f>
        <v/>
      </c>
      <c r="F87" s="32">
        <f>F86/F64</f>
        <v/>
      </c>
      <c r="G87" s="32">
        <f>G86/G64</f>
        <v/>
      </c>
      <c r="H87" s="32">
        <f>H86/H64</f>
        <v/>
      </c>
      <c r="I87" s="32">
        <f>I86/I64</f>
        <v/>
      </c>
      <c r="J87" s="32">
        <f>J86/J64</f>
        <v/>
      </c>
      <c r="K87" s="32">
        <f>K86/K64</f>
        <v/>
      </c>
      <c r="L87" s="14" t="n"/>
      <c r="M87" s="14" t="n"/>
      <c r="N87" s="15" t="n"/>
    </row>
    <row r="88">
      <c r="A88" s="33" t="inlineStr">
        <is>
          <t>(-) Δ NWC ($M)</t>
        </is>
      </c>
      <c r="B88" s="16" t="n">
        <v>-8.210000000000001</v>
      </c>
      <c r="C88" s="16" t="n">
        <v>24.18</v>
      </c>
      <c r="D88" s="16" t="n">
        <v>-2.49</v>
      </c>
      <c r="E88" s="16" t="n">
        <v>16.22</v>
      </c>
      <c r="F88" s="16" t="n">
        <v>76.31</v>
      </c>
      <c r="G88" s="17">
        <f>(G64-F64)*G58</f>
        <v/>
      </c>
      <c r="H88" s="17">
        <f>(H64-G64)*H58</f>
        <v/>
      </c>
      <c r="I88" s="17">
        <f>(I64-H64)*I58</f>
        <v/>
      </c>
      <c r="J88" s="17">
        <f>(J64-I64)*J58</f>
        <v/>
      </c>
      <c r="K88" s="17">
        <f>(K64-J64)*K58</f>
        <v/>
      </c>
      <c r="L88" s="14" t="n"/>
      <c r="M88" s="14" t="n"/>
      <c r="N88" s="15" t="n"/>
    </row>
    <row r="89">
      <c r="A89" s="26" t="inlineStr">
        <is>
          <t xml:space="preserve">  NWC Δ% of Revenue Change</t>
        </is>
      </c>
      <c r="B89" s="14" t="n"/>
      <c r="C89" s="14" t="n"/>
      <c r="D89" s="14" t="n"/>
      <c r="E89" s="14" t="n"/>
      <c r="F89" s="14" t="n"/>
      <c r="G89" s="32">
        <f>IF(G64-F64=0,0,G88/(G64-F64))</f>
        <v/>
      </c>
      <c r="H89" s="32">
        <f>IF(H64-G64=0,0,H88/(H64-G64))</f>
        <v/>
      </c>
      <c r="I89" s="32">
        <f>IF(I64-H64=0,0,I88/(I64-H64))</f>
        <v/>
      </c>
      <c r="J89" s="32">
        <f>IF(J64-I64=0,0,J88/(J64-I64))</f>
        <v/>
      </c>
      <c r="K89" s="32">
        <f>IF(K64-J64=0,0,K88/(K64-J64))</f>
        <v/>
      </c>
      <c r="L89" s="14" t="n"/>
      <c r="M89" s="14" t="n"/>
      <c r="N89" s="15" t="n"/>
    </row>
    <row r="90">
      <c r="A90" s="12" t="n"/>
      <c r="B90" s="14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5" t="n"/>
    </row>
    <row r="91">
      <c r="A91" s="36" t="inlineStr">
        <is>
          <t>Unlevered Free Cash Flow ($M)</t>
        </is>
      </c>
      <c r="B91" s="37" t="n">
        <v>1.18</v>
      </c>
      <c r="C91" s="37" t="n">
        <v>-18.36</v>
      </c>
      <c r="D91" s="37" t="n">
        <v>30.8</v>
      </c>
      <c r="E91" s="37" t="n">
        <v>39.23</v>
      </c>
      <c r="F91" s="37" t="n">
        <v>-22.78</v>
      </c>
      <c r="G91" s="37">
        <f>G83+G84-G86-G88</f>
        <v/>
      </c>
      <c r="H91" s="37">
        <f>H83+H84-H86-H88</f>
        <v/>
      </c>
      <c r="I91" s="37">
        <f>I83+I84-I86-I88</f>
        <v/>
      </c>
      <c r="J91" s="37">
        <f>J83+J84-J86-J88</f>
        <v/>
      </c>
      <c r="K91" s="37">
        <f>K83+K84-K86-K88</f>
        <v/>
      </c>
      <c r="L91" s="38" t="n"/>
      <c r="M91" s="38" t="n"/>
      <c r="N91" s="39" t="n"/>
    </row>
    <row r="93">
      <c r="A93" s="6" t="inlineStr">
        <is>
          <t>DCF DISCOUNTING  (Mid-Year Convention)</t>
        </is>
      </c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8" t="n"/>
    </row>
    <row r="94">
      <c r="A94" s="9" t="inlineStr"/>
      <c r="B94" s="10" t="n"/>
      <c r="C94" s="10" t="n"/>
      <c r="D94" s="10" t="n"/>
      <c r="E94" s="10" t="n"/>
      <c r="F94" s="10" t="n"/>
      <c r="G94" s="10" t="inlineStr">
        <is>
          <t>FY2026E</t>
        </is>
      </c>
      <c r="H94" s="10" t="inlineStr">
        <is>
          <t>FY2027E</t>
        </is>
      </c>
      <c r="I94" s="10" t="inlineStr">
        <is>
          <t>FY2028E</t>
        </is>
      </c>
      <c r="J94" s="10" t="inlineStr">
        <is>
          <t>FY2029E</t>
        </is>
      </c>
      <c r="K94" s="10" t="inlineStr">
        <is>
          <t>FY2030E</t>
        </is>
      </c>
      <c r="L94" s="10" t="n"/>
      <c r="M94" s="10" t="n"/>
      <c r="N94" s="11" t="n"/>
    </row>
    <row r="95">
      <c r="A95" s="33" t="inlineStr">
        <is>
          <t>Discount Period (mid-year)</t>
        </is>
      </c>
      <c r="B95" s="14" t="n"/>
      <c r="C95" s="14" t="n"/>
      <c r="D95" s="14" t="n"/>
      <c r="E95" s="14" t="n"/>
      <c r="F95" s="14" t="n"/>
      <c r="G95" s="40" t="n">
        <v>0.5</v>
      </c>
      <c r="H95" s="40" t="n">
        <v>1.5</v>
      </c>
      <c r="I95" s="40" t="n">
        <v>2.5</v>
      </c>
      <c r="J95" s="40" t="n">
        <v>3.5</v>
      </c>
      <c r="K95" s="40" t="n">
        <v>4.5</v>
      </c>
      <c r="L95" s="14" t="n"/>
      <c r="M95" s="14" t="n"/>
      <c r="N95" s="15" t="n"/>
    </row>
    <row r="96">
      <c r="A96" s="33" t="inlineStr">
        <is>
          <t>Discount Factor</t>
        </is>
      </c>
      <c r="B96" s="14" t="n"/>
      <c r="C96" s="14" t="n"/>
      <c r="D96" s="14" t="n"/>
      <c r="E96" s="14" t="n"/>
      <c r="F96" s="14" t="n"/>
      <c r="G96" s="41">
        <f>1/(1+WACC!$B$27)^G95</f>
        <v/>
      </c>
      <c r="H96" s="41">
        <f>1/(1+WACC!$B$27)^H95</f>
        <v/>
      </c>
      <c r="I96" s="41">
        <f>1/(1+WACC!$B$27)^I95</f>
        <v/>
      </c>
      <c r="J96" s="41">
        <f>1/(1+WACC!$B$27)^J95</f>
        <v/>
      </c>
      <c r="K96" s="41">
        <f>1/(1+WACC!$B$27)^K95</f>
        <v/>
      </c>
      <c r="L96" s="14" t="n"/>
      <c r="M96" s="14" t="n"/>
      <c r="N96" s="15" t="n"/>
    </row>
    <row r="97">
      <c r="A97" s="30" t="inlineStr">
        <is>
          <t>PV of FCF ($M)</t>
        </is>
      </c>
      <c r="B97" s="14" t="n"/>
      <c r="C97" s="14" t="n"/>
      <c r="D97" s="14" t="n"/>
      <c r="E97" s="14" t="n"/>
      <c r="F97" s="14" t="n"/>
      <c r="G97" s="42">
        <f>G91*G96</f>
        <v/>
      </c>
      <c r="H97" s="42">
        <f>H91*H96</f>
        <v/>
      </c>
      <c r="I97" s="42">
        <f>I91*I96</f>
        <v/>
      </c>
      <c r="J97" s="42">
        <f>J91*J96</f>
        <v/>
      </c>
      <c r="K97" s="42">
        <f>K91*K96</f>
        <v/>
      </c>
      <c r="L97" s="14" t="n"/>
      <c r="M97" s="14" t="n"/>
      <c r="N97" s="15" t="n"/>
    </row>
    <row r="98">
      <c r="A98" s="12" t="n"/>
      <c r="B98" s="14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5" t="n"/>
    </row>
    <row r="99">
      <c r="A99" s="43" t="inlineStr">
        <is>
          <t>TERMINAL VALUE  (Perpetuity Growth Method)</t>
        </is>
      </c>
      <c r="B99" s="44" t="n"/>
      <c r="C99" s="44" t="n"/>
      <c r="D99" s="44" t="n"/>
      <c r="E99" s="44" t="n"/>
      <c r="F99" s="44" t="n"/>
      <c r="G99" s="44" t="n"/>
      <c r="H99" s="44" t="n"/>
      <c r="I99" s="44" t="n"/>
      <c r="J99" s="44" t="n"/>
      <c r="K99" s="44" t="n"/>
      <c r="L99" s="44" t="n"/>
      <c r="M99" s="44" t="n"/>
      <c r="N99" s="45" t="n"/>
    </row>
    <row r="100">
      <c r="A100" s="33" t="inlineStr">
        <is>
          <t>Terminal Year FCF ($M)</t>
        </is>
      </c>
      <c r="B100" s="14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7">
        <f>K91*(1+$G$59)</f>
        <v/>
      </c>
      <c r="L100" s="14" t="n"/>
      <c r="M100" s="14" t="n"/>
      <c r="N100" s="15" t="n"/>
    </row>
    <row r="101">
      <c r="A101" s="33" t="inlineStr">
        <is>
          <t>Terminal Value ($M)</t>
        </is>
      </c>
      <c r="B101" s="14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46">
        <f>K100/(WACC!$B$27-$G$59)</f>
        <v/>
      </c>
      <c r="L101" s="14" t="n"/>
      <c r="M101" s="14" t="n"/>
      <c r="N101" s="15" t="n"/>
    </row>
    <row r="102">
      <c r="A102" s="34" t="inlineStr">
        <is>
          <t>PV of Terminal Value ($M)</t>
        </is>
      </c>
      <c r="B102" s="20" t="n"/>
      <c r="C102" s="20" t="n"/>
      <c r="D102" s="20" t="n"/>
      <c r="E102" s="20" t="n"/>
      <c r="F102" s="20" t="n"/>
      <c r="G102" s="20" t="n"/>
      <c r="H102" s="20" t="n"/>
      <c r="I102" s="20" t="n"/>
      <c r="J102" s="20" t="n"/>
      <c r="K102" s="47">
        <f>K101/(1+WACC!$B$27)^4.5</f>
        <v/>
      </c>
      <c r="L102" s="20" t="n"/>
      <c r="M102" s="20" t="n"/>
      <c r="N102" s="21" t="n"/>
    </row>
    <row r="104">
      <c r="A104" s="48" t="inlineStr">
        <is>
          <t>VALUATION SUMMARY</t>
        </is>
      </c>
      <c r="B104" s="49" t="n"/>
      <c r="C104" s="49" t="n"/>
      <c r="D104" s="49" t="n"/>
      <c r="E104" s="49" t="n"/>
      <c r="F104" s="49" t="n"/>
      <c r="G104" s="49" t="n"/>
      <c r="H104" s="49" t="n"/>
      <c r="I104" s="49" t="n"/>
      <c r="J104" s="49" t="n"/>
      <c r="K104" s="49" t="n"/>
      <c r="L104" s="49" t="n"/>
      <c r="M104" s="49" t="n"/>
      <c r="N104" s="50" t="n"/>
    </row>
    <row r="105">
      <c r="A105" s="33" t="inlineStr">
        <is>
          <t>Sum of PV of Projected FCFs ($M)</t>
        </is>
      </c>
      <c r="B105" s="51">
        <f>SUM(G97:K97)</f>
        <v/>
      </c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5" t="n"/>
    </row>
    <row r="106">
      <c r="A106" s="33" t="inlineStr">
        <is>
          <t>PV of Terminal Value ($M)</t>
        </is>
      </c>
      <c r="B106" s="51">
        <f>K102</f>
        <v/>
      </c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5" t="n"/>
    </row>
    <row r="107">
      <c r="A107" s="30" t="inlineStr">
        <is>
          <t>Enterprise Value ($M)</t>
        </is>
      </c>
      <c r="B107" s="52">
        <f>B105+B106</f>
        <v/>
      </c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5" t="n"/>
    </row>
    <row r="108">
      <c r="A108" s="33" t="inlineStr">
        <is>
          <t>(-) Net Debt ($M)  [+ if net debt, – if net cash]</t>
        </is>
      </c>
      <c r="B108" s="51">
        <f>B13</f>
        <v/>
      </c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5" t="n"/>
    </row>
    <row r="109">
      <c r="A109" s="30" t="inlineStr">
        <is>
          <t>Equity Value ($M)</t>
        </is>
      </c>
      <c r="B109" s="52">
        <f>B107-B108</f>
        <v/>
      </c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5" t="n"/>
    </row>
    <row r="110">
      <c r="A110" s="12" t="inlineStr"/>
      <c r="B110" s="14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5" t="n"/>
    </row>
    <row r="111">
      <c r="A111" s="33" t="inlineStr">
        <is>
          <t>Diluted Shares Outstanding (M)</t>
        </is>
      </c>
      <c r="B111" s="17">
        <f>B11</f>
        <v/>
      </c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5" t="n"/>
    </row>
    <row r="112" ht="22" customHeight="1">
      <c r="A112" s="53" t="inlineStr">
        <is>
          <t>IMPLIED SHARE PRICE</t>
        </is>
      </c>
      <c r="B112" s="54">
        <f>IF(B111=0,0,B109/B111)</f>
        <v/>
      </c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5" t="n"/>
    </row>
    <row r="113">
      <c r="A113" s="33" t="inlineStr">
        <is>
          <t>Current Stock Price</t>
        </is>
      </c>
      <c r="B113" s="55">
        <f>B10</f>
        <v/>
      </c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5" t="n"/>
    </row>
    <row r="114">
      <c r="A114" s="34" t="inlineStr">
        <is>
          <t>Implied Upside / (Downside)</t>
        </is>
      </c>
      <c r="B114" s="56">
        <f>B112/B113-1</f>
        <v/>
      </c>
      <c r="C114" s="20" t="n"/>
      <c r="D114" s="20" t="n"/>
      <c r="E114" s="20" t="n"/>
      <c r="F114" s="20" t="n"/>
      <c r="G114" s="20" t="n"/>
      <c r="H114" s="20" t="n"/>
      <c r="I114" s="20" t="n"/>
      <c r="J114" s="20" t="n"/>
      <c r="K114" s="20" t="n"/>
      <c r="L114" s="20" t="n"/>
      <c r="M114" s="20" t="n"/>
      <c r="N114" s="21" t="n"/>
    </row>
    <row r="117">
      <c r="A117" s="6" t="inlineStr">
        <is>
          <t>SENSITIVITY 1 — Implied Price: WACC vs Terminal Growth Rate</t>
        </is>
      </c>
      <c r="B117" s="7" t="n"/>
      <c r="C117" s="7" t="n"/>
      <c r="D117" s="7" t="n"/>
      <c r="E117" s="7" t="n"/>
      <c r="F117" s="8" t="n"/>
      <c r="G117" s="44" t="n"/>
      <c r="H117" s="44" t="n"/>
      <c r="I117" s="44" t="n"/>
      <c r="J117" s="44" t="n"/>
    </row>
    <row r="118">
      <c r="A118" s="57" t="inlineStr">
        <is>
          <t>WACC \ Term.Growth</t>
        </is>
      </c>
      <c r="B118" s="58" t="n">
        <v>0.02</v>
      </c>
      <c r="C118" s="58" t="n">
        <v>0.025</v>
      </c>
      <c r="D118" s="58" t="n">
        <v>0.03</v>
      </c>
      <c r="E118" s="58" t="n">
        <v>0.035</v>
      </c>
      <c r="F118" s="59" t="n">
        <v>0.04</v>
      </c>
    </row>
    <row r="119">
      <c r="A119" s="60" t="n">
        <v>0.08500000000000001</v>
      </c>
      <c r="B119" s="61">
        <f>IF(B11=0,0,(G91/(1+0.085)^0.5+H91/(1+0.085)^1.5+I91/(1+0.085)^2.5+J91/(1+0.085)^3.5+K91/(1+0.085)^4.5+(K91*(1+0.02)/(0.085-0.02))/(1+0.085)^4.5-B13)/B11)</f>
        <v/>
      </c>
      <c r="C119" s="61">
        <f>IF(B11=0,0,(G91/(1+0.085)^0.5+H91/(1+0.085)^1.5+I91/(1+0.085)^2.5+J91/(1+0.085)^3.5+K91/(1+0.085)^4.5+(K91*(1+0.025)/(0.085-0.025))/(1+0.085)^4.5-B13)/B11)</f>
        <v/>
      </c>
      <c r="D119" s="61">
        <f>IF(B11=0,0,(G91/(1+0.085)^0.5+H91/(1+0.085)^1.5+I91/(1+0.085)^2.5+J91/(1+0.085)^3.5+K91/(1+0.085)^4.5+(K91*(1+0.03)/(0.085-0.03))/(1+0.085)^4.5-B13)/B11)</f>
        <v/>
      </c>
      <c r="E119" s="61">
        <f>IF(B11=0,0,(G91/(1+0.085)^0.5+H91/(1+0.085)^1.5+I91/(1+0.085)^2.5+J91/(1+0.085)^3.5+K91/(1+0.085)^4.5+(K91*(1+0.035)/(0.085-0.035))/(1+0.085)^4.5-B13)/B11)</f>
        <v/>
      </c>
      <c r="F119" s="62">
        <f>IF(B11=0,0,(G91/(1+0.085)^0.5+H91/(1+0.085)^1.5+I91/(1+0.085)^2.5+J91/(1+0.085)^3.5+K91/(1+0.085)^4.5+(K91*(1+0.04)/(0.085-0.04))/(1+0.085)^4.5-B13)/B11)</f>
        <v/>
      </c>
    </row>
    <row r="120">
      <c r="A120" s="60" t="n">
        <v>0.095</v>
      </c>
      <c r="B120" s="61">
        <f>IF(B11=0,0,(G91/(1+0.095)^0.5+H91/(1+0.095)^1.5+I91/(1+0.095)^2.5+J91/(1+0.095)^3.5+K91/(1+0.095)^4.5+(K91*(1+0.02)/(0.095-0.02))/(1+0.095)^4.5-B13)/B11)</f>
        <v/>
      </c>
      <c r="C120" s="61">
        <f>IF(B11=0,0,(G91/(1+0.095)^0.5+H91/(1+0.095)^1.5+I91/(1+0.095)^2.5+J91/(1+0.095)^3.5+K91/(1+0.095)^4.5+(K91*(1+0.025)/(0.095-0.025))/(1+0.095)^4.5-B13)/B11)</f>
        <v/>
      </c>
      <c r="D120" s="61">
        <f>IF(B11=0,0,(G91/(1+0.095)^0.5+H91/(1+0.095)^1.5+I91/(1+0.095)^2.5+J91/(1+0.095)^3.5+K91/(1+0.095)^4.5+(K91*(1+0.03)/(0.095-0.03))/(1+0.095)^4.5-B13)/B11)</f>
        <v/>
      </c>
      <c r="E120" s="61">
        <f>IF(B11=0,0,(G91/(1+0.095)^0.5+H91/(1+0.095)^1.5+I91/(1+0.095)^2.5+J91/(1+0.095)^3.5+K91/(1+0.095)^4.5+(K91*(1+0.035)/(0.095-0.035))/(1+0.095)^4.5-B13)/B11)</f>
        <v/>
      </c>
      <c r="F120" s="62">
        <f>IF(B11=0,0,(G91/(1+0.095)^0.5+H91/(1+0.095)^1.5+I91/(1+0.095)^2.5+J91/(1+0.095)^3.5+K91/(1+0.095)^4.5+(K91*(1+0.04)/(0.095-0.04))/(1+0.095)^4.5-B13)/B11)</f>
        <v/>
      </c>
    </row>
    <row r="121">
      <c r="A121" s="60" t="n">
        <v>0.105</v>
      </c>
      <c r="B121" s="61">
        <f>IF(B11=0,0,(G91/(1+0.105)^0.5+H91/(1+0.105)^1.5+I91/(1+0.105)^2.5+J91/(1+0.105)^3.5+K91/(1+0.105)^4.5+(K91*(1+0.02)/(0.105-0.02))/(1+0.105)^4.5-B13)/B11)</f>
        <v/>
      </c>
      <c r="C121" s="61">
        <f>IF(B11=0,0,(G91/(1+0.105)^0.5+H91/(1+0.105)^1.5+I91/(1+0.105)^2.5+J91/(1+0.105)^3.5+K91/(1+0.105)^4.5+(K91*(1+0.025)/(0.105-0.025))/(1+0.105)^4.5-B13)/B11)</f>
        <v/>
      </c>
      <c r="D121" s="63">
        <f>IF(B11=0,0,(G91/(1+0.105)^0.5+H91/(1+0.105)^1.5+I91/(1+0.105)^2.5+J91/(1+0.105)^3.5+K91/(1+0.105)^4.5+(K91*(1+0.03)/(0.105-0.03))/(1+0.105)^4.5-B13)/B11)</f>
        <v/>
      </c>
      <c r="E121" s="61">
        <f>IF(B11=0,0,(G91/(1+0.105)^0.5+H91/(1+0.105)^1.5+I91/(1+0.105)^2.5+J91/(1+0.105)^3.5+K91/(1+0.105)^4.5+(K91*(1+0.035)/(0.105-0.035))/(1+0.105)^4.5-B13)/B11)</f>
        <v/>
      </c>
      <c r="F121" s="62">
        <f>IF(B11=0,0,(G91/(1+0.105)^0.5+H91/(1+0.105)^1.5+I91/(1+0.105)^2.5+J91/(1+0.105)^3.5+K91/(1+0.105)^4.5+(K91*(1+0.04)/(0.105-0.04))/(1+0.105)^4.5-B13)/B11)</f>
        <v/>
      </c>
    </row>
    <row r="122">
      <c r="A122" s="60" t="n">
        <v>0.115</v>
      </c>
      <c r="B122" s="61">
        <f>IF(B11=0,0,(G91/(1+0.115)^0.5+H91/(1+0.115)^1.5+I91/(1+0.115)^2.5+J91/(1+0.115)^3.5+K91/(1+0.115)^4.5+(K91*(1+0.02)/(0.115-0.02))/(1+0.115)^4.5-B13)/B11)</f>
        <v/>
      </c>
      <c r="C122" s="61">
        <f>IF(B11=0,0,(G91/(1+0.115)^0.5+H91/(1+0.115)^1.5+I91/(1+0.115)^2.5+J91/(1+0.115)^3.5+K91/(1+0.115)^4.5+(K91*(1+0.025)/(0.115-0.025))/(1+0.115)^4.5-B13)/B11)</f>
        <v/>
      </c>
      <c r="D122" s="61">
        <f>IF(B11=0,0,(G91/(1+0.115)^0.5+H91/(1+0.115)^1.5+I91/(1+0.115)^2.5+J91/(1+0.115)^3.5+K91/(1+0.115)^4.5+(K91*(1+0.03)/(0.115-0.03))/(1+0.115)^4.5-B13)/B11)</f>
        <v/>
      </c>
      <c r="E122" s="61">
        <f>IF(B11=0,0,(G91/(1+0.115)^0.5+H91/(1+0.115)^1.5+I91/(1+0.115)^2.5+J91/(1+0.115)^3.5+K91/(1+0.115)^4.5+(K91*(1+0.035)/(0.115-0.035))/(1+0.115)^4.5-B13)/B11)</f>
        <v/>
      </c>
      <c r="F122" s="62">
        <f>IF(B11=0,0,(G91/(1+0.115)^0.5+H91/(1+0.115)^1.5+I91/(1+0.115)^2.5+J91/(1+0.115)^3.5+K91/(1+0.115)^4.5+(K91*(1+0.04)/(0.115-0.04))/(1+0.115)^4.5-B13)/B11)</f>
        <v/>
      </c>
    </row>
    <row r="123">
      <c r="A123" s="64" t="n">
        <v>0.125</v>
      </c>
      <c r="B123" s="65">
        <f>IF(B11=0,0,(G91/(1+0.125)^0.5+H91/(1+0.125)^1.5+I91/(1+0.125)^2.5+J91/(1+0.125)^3.5+K91/(1+0.125)^4.5+(K91*(1+0.02)/(0.125-0.02))/(1+0.125)^4.5-B13)/B11)</f>
        <v/>
      </c>
      <c r="C123" s="65">
        <f>IF(B11=0,0,(G91/(1+0.125)^0.5+H91/(1+0.125)^1.5+I91/(1+0.125)^2.5+J91/(1+0.125)^3.5+K91/(1+0.125)^4.5+(K91*(1+0.025)/(0.125-0.025))/(1+0.125)^4.5-B13)/B11)</f>
        <v/>
      </c>
      <c r="D123" s="65">
        <f>IF(B11=0,0,(G91/(1+0.125)^0.5+H91/(1+0.125)^1.5+I91/(1+0.125)^2.5+J91/(1+0.125)^3.5+K91/(1+0.125)^4.5+(K91*(1+0.03)/(0.125-0.03))/(1+0.125)^4.5-B13)/B11)</f>
        <v/>
      </c>
      <c r="E123" s="65">
        <f>IF(B11=0,0,(G91/(1+0.125)^0.5+H91/(1+0.125)^1.5+I91/(1+0.125)^2.5+J91/(1+0.125)^3.5+K91/(1+0.125)^4.5+(K91*(1+0.035)/(0.125-0.035))/(1+0.125)^4.5-B13)/B11)</f>
        <v/>
      </c>
      <c r="F123" s="66">
        <f>IF(B11=0,0,(G91/(1+0.125)^0.5+H91/(1+0.125)^1.5+I91/(1+0.125)^2.5+J91/(1+0.125)^3.5+K91/(1+0.125)^4.5+(K91*(1+0.04)/(0.125-0.04))/(1+0.125)^4.5-B13)/B11)</f>
        <v/>
      </c>
    </row>
    <row r="126">
      <c r="A126" s="6" t="inlineStr">
        <is>
          <t>SENSITIVITY 2 — Implied Price: 5-Yr Rev CAGR vs Terminal EBIT Margin</t>
        </is>
      </c>
      <c r="B126" s="7" t="n"/>
      <c r="C126" s="7" t="n"/>
      <c r="D126" s="7" t="n"/>
      <c r="E126" s="7" t="n"/>
      <c r="F126" s="8" t="n"/>
      <c r="G126" s="44" t="n"/>
      <c r="H126" s="44" t="n"/>
      <c r="I126" s="44" t="n"/>
      <c r="J126" s="44" t="n"/>
    </row>
    <row r="127">
      <c r="A127" s="57" t="inlineStr">
        <is>
          <t>RevCAGR \ EBIT Mgn</t>
        </is>
      </c>
      <c r="B127" s="58" t="n">
        <v>0.08</v>
      </c>
      <c r="C127" s="58" t="n">
        <v>0.1</v>
      </c>
      <c r="D127" s="58" t="n">
        <v>0.13</v>
      </c>
      <c r="E127" s="58" t="n">
        <v>0.15</v>
      </c>
      <c r="F127" s="59" t="n">
        <v>0.17</v>
      </c>
    </row>
    <row r="128">
      <c r="A128" s="9" t="inlineStr">
        <is>
          <t>8%</t>
        </is>
      </c>
      <c r="B128" s="61">
        <f>IF(B11=0,0,(((F64*1.08^1)*0.08*(1-$G$55)+(F64*1.08^1)*$K$56-(F64*1.08^1)*$K$57-((F64*1.08^1)-(F64*1.08^0))*$K$58)/(1+WACC!$B$27)^0.5+((F64*1.08^2)*0.08*(1-$G$55)+(F64*1.08^2)*$K$56-(F64*1.08^2)*$K$57-((F64*1.08^2)-(F64*1.08^1))*$K$58)/(1+WACC!$B$27)^1.5+((F64*1.08^3)*0.08*(1-$G$55)+(F64*1.08^3)*$K$56-(F64*1.08^3)*$K$57-((F64*1.08^3)-(F64*1.08^2))*$K$58)/(1+WACC!$B$27)^2.5+((F64*1.08^4)*0.08*(1-$G$55)+(F64*1.08^4)*$K$56-(F64*1.08^4)*$K$57-((F64*1.08^4)-(F64*1.08^3))*$K$58)/(1+WACC!$B$27)^3.5+((F64*1.08^5)*0.08*(1-$G$55)+(F64*1.08^5)*$K$56-(F64*1.08^5)*$K$57-((F64*1.08^5)-(F64*1.08^4))*$K$58)/(1+WACC!$B$27)^4.5+((F64*1.08^5)*0.08*(1-$G$55)+(F64*1.08^5)*$K$56-(F64*1.08^5)*$K$57-((F64*1.08^5)-F64*1.08^4)*$K$58)*(1+$G$59)/(WACC!$B$27-$G$59)/(1+WACC!$B$27)^4.5-B13)/B11)</f>
        <v/>
      </c>
      <c r="C128" s="61">
        <f>IF(B11=0,0,(((F64*1.08^1)*0.1*(1-$G$55)+(F64*1.08^1)*$K$56-(F64*1.08^1)*$K$57-((F64*1.08^1)-(F64*1.08^0))*$K$58)/(1+WACC!$B$27)^0.5+((F64*1.08^2)*0.1*(1-$G$55)+(F64*1.08^2)*$K$56-(F64*1.08^2)*$K$57-((F64*1.08^2)-(F64*1.08^1))*$K$58)/(1+WACC!$B$27)^1.5+((F64*1.08^3)*0.1*(1-$G$55)+(F64*1.08^3)*$K$56-(F64*1.08^3)*$K$57-((F64*1.08^3)-(F64*1.08^2))*$K$58)/(1+WACC!$B$27)^2.5+((F64*1.08^4)*0.1*(1-$G$55)+(F64*1.08^4)*$K$56-(F64*1.08^4)*$K$57-((F64*1.08^4)-(F64*1.08^3))*$K$58)/(1+WACC!$B$27)^3.5+((F64*1.08^5)*0.1*(1-$G$55)+(F64*1.08^5)*$K$56-(F64*1.08^5)*$K$57-((F64*1.08^5)-(F64*1.08^4))*$K$58)/(1+WACC!$B$27)^4.5+((F64*1.08^5)*0.1*(1-$G$55)+(F64*1.08^5)*$K$56-(F64*1.08^5)*$K$57-((F64*1.08^5)-F64*1.08^4)*$K$58)*(1+$G$59)/(WACC!$B$27-$G$59)/(1+WACC!$B$27)^4.5-B13)/B11)</f>
        <v/>
      </c>
      <c r="D128" s="61">
        <f>IF(B11=0,0,(((F64*1.08^1)*0.13*(1-$G$55)+(F64*1.08^1)*$K$56-(F64*1.08^1)*$K$57-((F64*1.08^1)-(F64*1.08^0))*$K$58)/(1+WACC!$B$27)^0.5+((F64*1.08^2)*0.13*(1-$G$55)+(F64*1.08^2)*$K$56-(F64*1.08^2)*$K$57-((F64*1.08^2)-(F64*1.08^1))*$K$58)/(1+WACC!$B$27)^1.5+((F64*1.08^3)*0.13*(1-$G$55)+(F64*1.08^3)*$K$56-(F64*1.08^3)*$K$57-((F64*1.08^3)-(F64*1.08^2))*$K$58)/(1+WACC!$B$27)^2.5+((F64*1.08^4)*0.13*(1-$G$55)+(F64*1.08^4)*$K$56-(F64*1.08^4)*$K$57-((F64*1.08^4)-(F64*1.08^3))*$K$58)/(1+WACC!$B$27)^3.5+((F64*1.08^5)*0.13*(1-$G$55)+(F64*1.08^5)*$K$56-(F64*1.08^5)*$K$57-((F64*1.08^5)-(F64*1.08^4))*$K$58)/(1+WACC!$B$27)^4.5+((F64*1.08^5)*0.13*(1-$G$55)+(F64*1.08^5)*$K$56-(F64*1.08^5)*$K$57-((F64*1.08^5)-F64*1.08^4)*$K$58)*(1+$G$59)/(WACC!$B$27-$G$59)/(1+WACC!$B$27)^4.5-B13)/B11)</f>
        <v/>
      </c>
      <c r="E128" s="61">
        <f>IF(B11=0,0,(((F64*1.08^1)*0.15*(1-$G$55)+(F64*1.08^1)*$K$56-(F64*1.08^1)*$K$57-((F64*1.08^1)-(F64*1.08^0))*$K$58)/(1+WACC!$B$27)^0.5+((F64*1.08^2)*0.15*(1-$G$55)+(F64*1.08^2)*$K$56-(F64*1.08^2)*$K$57-((F64*1.08^2)-(F64*1.08^1))*$K$58)/(1+WACC!$B$27)^1.5+((F64*1.08^3)*0.15*(1-$G$55)+(F64*1.08^3)*$K$56-(F64*1.08^3)*$K$57-((F64*1.08^3)-(F64*1.08^2))*$K$58)/(1+WACC!$B$27)^2.5+((F64*1.08^4)*0.15*(1-$G$55)+(F64*1.08^4)*$K$56-(F64*1.08^4)*$K$57-((F64*1.08^4)-(F64*1.08^3))*$K$58)/(1+WACC!$B$27)^3.5+((F64*1.08^5)*0.15*(1-$G$55)+(F64*1.08^5)*$K$56-(F64*1.08^5)*$K$57-((F64*1.08^5)-(F64*1.08^4))*$K$58)/(1+WACC!$B$27)^4.5+((F64*1.08^5)*0.15*(1-$G$55)+(F64*1.08^5)*$K$56-(F64*1.08^5)*$K$57-((F64*1.08^5)-F64*1.08^4)*$K$58)*(1+$G$59)/(WACC!$B$27-$G$59)/(1+WACC!$B$27)^4.5-B13)/B11)</f>
        <v/>
      </c>
      <c r="F128" s="62">
        <f>IF(B11=0,0,(((F64*1.08^1)*0.17*(1-$G$55)+(F64*1.08^1)*$K$56-(F64*1.08^1)*$K$57-((F64*1.08^1)-(F64*1.08^0))*$K$58)/(1+WACC!$B$27)^0.5+((F64*1.08^2)*0.17*(1-$G$55)+(F64*1.08^2)*$K$56-(F64*1.08^2)*$K$57-((F64*1.08^2)-(F64*1.08^1))*$K$58)/(1+WACC!$B$27)^1.5+((F64*1.08^3)*0.17*(1-$G$55)+(F64*1.08^3)*$K$56-(F64*1.08^3)*$K$57-((F64*1.08^3)-(F64*1.08^2))*$K$58)/(1+WACC!$B$27)^2.5+((F64*1.08^4)*0.17*(1-$G$55)+(F64*1.08^4)*$K$56-(F64*1.08^4)*$K$57-((F64*1.08^4)-(F64*1.08^3))*$K$58)/(1+WACC!$B$27)^3.5+((F64*1.08^5)*0.17*(1-$G$55)+(F64*1.08^5)*$K$56-(F64*1.08^5)*$K$57-((F64*1.08^5)-(F64*1.08^4))*$K$58)/(1+WACC!$B$27)^4.5+((F64*1.08^5)*0.17*(1-$G$55)+(F64*1.08^5)*$K$56-(F64*1.08^5)*$K$57-((F64*1.08^5)-F64*1.08^4)*$K$58)*(1+$G$59)/(WACC!$B$27-$G$59)/(1+WACC!$B$27)^4.5-B13)/B11)</f>
        <v/>
      </c>
    </row>
    <row r="129">
      <c r="A129" s="9" t="inlineStr">
        <is>
          <t>12%</t>
        </is>
      </c>
      <c r="B129" s="61">
        <f>IF(B11=0,0,(((F64*1.12^1)*0.08*(1-$G$55)+(F64*1.12^1)*$K$56-(F64*1.12^1)*$K$57-((F64*1.12^1)-(F64*1.12^0))*$K$58)/(1+WACC!$B$27)^0.5+((F64*1.12^2)*0.08*(1-$G$55)+(F64*1.12^2)*$K$56-(F64*1.12^2)*$K$57-((F64*1.12^2)-(F64*1.12^1))*$K$58)/(1+WACC!$B$27)^1.5+((F64*1.12^3)*0.08*(1-$G$55)+(F64*1.12^3)*$K$56-(F64*1.12^3)*$K$57-((F64*1.12^3)-(F64*1.12^2))*$K$58)/(1+WACC!$B$27)^2.5+((F64*1.12^4)*0.08*(1-$G$55)+(F64*1.12^4)*$K$56-(F64*1.12^4)*$K$57-((F64*1.12^4)-(F64*1.12^3))*$K$58)/(1+WACC!$B$27)^3.5+((F64*1.12^5)*0.08*(1-$G$55)+(F64*1.12^5)*$K$56-(F64*1.12^5)*$K$57-((F64*1.12^5)-(F64*1.12^4))*$K$58)/(1+WACC!$B$27)^4.5+((F64*1.12^5)*0.08*(1-$G$55)+(F64*1.12^5)*$K$56-(F64*1.12^5)*$K$57-((F64*1.12^5)-F64*1.12^4)*$K$58)*(1+$G$59)/(WACC!$B$27-$G$59)/(1+WACC!$B$27)^4.5-B13)/B11)</f>
        <v/>
      </c>
      <c r="C129" s="61">
        <f>IF(B11=0,0,(((F64*1.12^1)*0.1*(1-$G$55)+(F64*1.12^1)*$K$56-(F64*1.12^1)*$K$57-((F64*1.12^1)-(F64*1.12^0))*$K$58)/(1+WACC!$B$27)^0.5+((F64*1.12^2)*0.1*(1-$G$55)+(F64*1.12^2)*$K$56-(F64*1.12^2)*$K$57-((F64*1.12^2)-(F64*1.12^1))*$K$58)/(1+WACC!$B$27)^1.5+((F64*1.12^3)*0.1*(1-$G$55)+(F64*1.12^3)*$K$56-(F64*1.12^3)*$K$57-((F64*1.12^3)-(F64*1.12^2))*$K$58)/(1+WACC!$B$27)^2.5+((F64*1.12^4)*0.1*(1-$G$55)+(F64*1.12^4)*$K$56-(F64*1.12^4)*$K$57-((F64*1.12^4)-(F64*1.12^3))*$K$58)/(1+WACC!$B$27)^3.5+((F64*1.12^5)*0.1*(1-$G$55)+(F64*1.12^5)*$K$56-(F64*1.12^5)*$K$57-((F64*1.12^5)-(F64*1.12^4))*$K$58)/(1+WACC!$B$27)^4.5+((F64*1.12^5)*0.1*(1-$G$55)+(F64*1.12^5)*$K$56-(F64*1.12^5)*$K$57-((F64*1.12^5)-F64*1.12^4)*$K$58)*(1+$G$59)/(WACC!$B$27-$G$59)/(1+WACC!$B$27)^4.5-B13)/B11)</f>
        <v/>
      </c>
      <c r="D129" s="61">
        <f>IF(B11=0,0,(((F64*1.12^1)*0.13*(1-$G$55)+(F64*1.12^1)*$K$56-(F64*1.12^1)*$K$57-((F64*1.12^1)-(F64*1.12^0))*$K$58)/(1+WACC!$B$27)^0.5+((F64*1.12^2)*0.13*(1-$G$55)+(F64*1.12^2)*$K$56-(F64*1.12^2)*$K$57-((F64*1.12^2)-(F64*1.12^1))*$K$58)/(1+WACC!$B$27)^1.5+((F64*1.12^3)*0.13*(1-$G$55)+(F64*1.12^3)*$K$56-(F64*1.12^3)*$K$57-((F64*1.12^3)-(F64*1.12^2))*$K$58)/(1+WACC!$B$27)^2.5+((F64*1.12^4)*0.13*(1-$G$55)+(F64*1.12^4)*$K$56-(F64*1.12^4)*$K$57-((F64*1.12^4)-(F64*1.12^3))*$K$58)/(1+WACC!$B$27)^3.5+((F64*1.12^5)*0.13*(1-$G$55)+(F64*1.12^5)*$K$56-(F64*1.12^5)*$K$57-((F64*1.12^5)-(F64*1.12^4))*$K$58)/(1+WACC!$B$27)^4.5+((F64*1.12^5)*0.13*(1-$G$55)+(F64*1.12^5)*$K$56-(F64*1.12^5)*$K$57-((F64*1.12^5)-F64*1.12^4)*$K$58)*(1+$G$59)/(WACC!$B$27-$G$59)/(1+WACC!$B$27)^4.5-B13)/B11)</f>
        <v/>
      </c>
      <c r="E129" s="61">
        <f>IF(B11=0,0,(((F64*1.12^1)*0.15*(1-$G$55)+(F64*1.12^1)*$K$56-(F64*1.12^1)*$K$57-((F64*1.12^1)-(F64*1.12^0))*$K$58)/(1+WACC!$B$27)^0.5+((F64*1.12^2)*0.15*(1-$G$55)+(F64*1.12^2)*$K$56-(F64*1.12^2)*$K$57-((F64*1.12^2)-(F64*1.12^1))*$K$58)/(1+WACC!$B$27)^1.5+((F64*1.12^3)*0.15*(1-$G$55)+(F64*1.12^3)*$K$56-(F64*1.12^3)*$K$57-((F64*1.12^3)-(F64*1.12^2))*$K$58)/(1+WACC!$B$27)^2.5+((F64*1.12^4)*0.15*(1-$G$55)+(F64*1.12^4)*$K$56-(F64*1.12^4)*$K$57-((F64*1.12^4)-(F64*1.12^3))*$K$58)/(1+WACC!$B$27)^3.5+((F64*1.12^5)*0.15*(1-$G$55)+(F64*1.12^5)*$K$56-(F64*1.12^5)*$K$57-((F64*1.12^5)-(F64*1.12^4))*$K$58)/(1+WACC!$B$27)^4.5+((F64*1.12^5)*0.15*(1-$G$55)+(F64*1.12^5)*$K$56-(F64*1.12^5)*$K$57-((F64*1.12^5)-F64*1.12^4)*$K$58)*(1+$G$59)/(WACC!$B$27-$G$59)/(1+WACC!$B$27)^4.5-B13)/B11)</f>
        <v/>
      </c>
      <c r="F129" s="62">
        <f>IF(B11=0,0,(((F64*1.12^1)*0.17*(1-$G$55)+(F64*1.12^1)*$K$56-(F64*1.12^1)*$K$57-((F64*1.12^1)-(F64*1.12^0))*$K$58)/(1+WACC!$B$27)^0.5+((F64*1.12^2)*0.17*(1-$G$55)+(F64*1.12^2)*$K$56-(F64*1.12^2)*$K$57-((F64*1.12^2)-(F64*1.12^1))*$K$58)/(1+WACC!$B$27)^1.5+((F64*1.12^3)*0.17*(1-$G$55)+(F64*1.12^3)*$K$56-(F64*1.12^3)*$K$57-((F64*1.12^3)-(F64*1.12^2))*$K$58)/(1+WACC!$B$27)^2.5+((F64*1.12^4)*0.17*(1-$G$55)+(F64*1.12^4)*$K$56-(F64*1.12^4)*$K$57-((F64*1.12^4)-(F64*1.12^3))*$K$58)/(1+WACC!$B$27)^3.5+((F64*1.12^5)*0.17*(1-$G$55)+(F64*1.12^5)*$K$56-(F64*1.12^5)*$K$57-((F64*1.12^5)-(F64*1.12^4))*$K$58)/(1+WACC!$B$27)^4.5+((F64*1.12^5)*0.17*(1-$G$55)+(F64*1.12^5)*$K$56-(F64*1.12^5)*$K$57-((F64*1.12^5)-F64*1.12^4)*$K$58)*(1+$G$59)/(WACC!$B$27-$G$59)/(1+WACC!$B$27)^4.5-B13)/B11)</f>
        <v/>
      </c>
    </row>
    <row r="130">
      <c r="A130" s="9" t="inlineStr">
        <is>
          <t>15%</t>
        </is>
      </c>
      <c r="B130" s="61">
        <f>IF(B11=0,0,(((F64*1.15^1)*0.08*(1-$G$55)+(F64*1.15^1)*$K$56-(F64*1.15^1)*$K$57-((F64*1.15^1)-(F64*1.15^0))*$K$58)/(1+WACC!$B$27)^0.5+((F64*1.15^2)*0.08*(1-$G$55)+(F64*1.15^2)*$K$56-(F64*1.15^2)*$K$57-((F64*1.15^2)-(F64*1.15^1))*$K$58)/(1+WACC!$B$27)^1.5+((F64*1.15^3)*0.08*(1-$G$55)+(F64*1.15^3)*$K$56-(F64*1.15^3)*$K$57-((F64*1.15^3)-(F64*1.15^2))*$K$58)/(1+WACC!$B$27)^2.5+((F64*1.15^4)*0.08*(1-$G$55)+(F64*1.15^4)*$K$56-(F64*1.15^4)*$K$57-((F64*1.15^4)-(F64*1.15^3))*$K$58)/(1+WACC!$B$27)^3.5+((F64*1.15^5)*0.08*(1-$G$55)+(F64*1.15^5)*$K$56-(F64*1.15^5)*$K$57-((F64*1.15^5)-(F64*1.15^4))*$K$58)/(1+WACC!$B$27)^4.5+((F64*1.15^5)*0.08*(1-$G$55)+(F64*1.15^5)*$K$56-(F64*1.15^5)*$K$57-((F64*1.15^5)-F64*1.15^4)*$K$58)*(1+$G$59)/(WACC!$B$27-$G$59)/(1+WACC!$B$27)^4.5-B13)/B11)</f>
        <v/>
      </c>
      <c r="C130" s="61">
        <f>IF(B11=0,0,(((F64*1.15^1)*0.1*(1-$G$55)+(F64*1.15^1)*$K$56-(F64*1.15^1)*$K$57-((F64*1.15^1)-(F64*1.15^0))*$K$58)/(1+WACC!$B$27)^0.5+((F64*1.15^2)*0.1*(1-$G$55)+(F64*1.15^2)*$K$56-(F64*1.15^2)*$K$57-((F64*1.15^2)-(F64*1.15^1))*$K$58)/(1+WACC!$B$27)^1.5+((F64*1.15^3)*0.1*(1-$G$55)+(F64*1.15^3)*$K$56-(F64*1.15^3)*$K$57-((F64*1.15^3)-(F64*1.15^2))*$K$58)/(1+WACC!$B$27)^2.5+((F64*1.15^4)*0.1*(1-$G$55)+(F64*1.15^4)*$K$56-(F64*1.15^4)*$K$57-((F64*1.15^4)-(F64*1.15^3))*$K$58)/(1+WACC!$B$27)^3.5+((F64*1.15^5)*0.1*(1-$G$55)+(F64*1.15^5)*$K$56-(F64*1.15^5)*$K$57-((F64*1.15^5)-(F64*1.15^4))*$K$58)/(1+WACC!$B$27)^4.5+((F64*1.15^5)*0.1*(1-$G$55)+(F64*1.15^5)*$K$56-(F64*1.15^5)*$K$57-((F64*1.15^5)-F64*1.15^4)*$K$58)*(1+$G$59)/(WACC!$B$27-$G$59)/(1+WACC!$B$27)^4.5-B13)/B11)</f>
        <v/>
      </c>
      <c r="D130" s="63">
        <f>IF(B11=0,0,(((F64*1.15^1)*0.13*(1-$G$55)+(F64*1.15^1)*$K$56-(F64*1.15^1)*$K$57-((F64*1.15^1)-(F64*1.15^0))*$K$58)/(1+WACC!$B$27)^0.5+((F64*1.15^2)*0.13*(1-$G$55)+(F64*1.15^2)*$K$56-(F64*1.15^2)*$K$57-((F64*1.15^2)-(F64*1.15^1))*$K$58)/(1+WACC!$B$27)^1.5+((F64*1.15^3)*0.13*(1-$G$55)+(F64*1.15^3)*$K$56-(F64*1.15^3)*$K$57-((F64*1.15^3)-(F64*1.15^2))*$K$58)/(1+WACC!$B$27)^2.5+((F64*1.15^4)*0.13*(1-$G$55)+(F64*1.15^4)*$K$56-(F64*1.15^4)*$K$57-((F64*1.15^4)-(F64*1.15^3))*$K$58)/(1+WACC!$B$27)^3.5+((F64*1.15^5)*0.13*(1-$G$55)+(F64*1.15^5)*$K$56-(F64*1.15^5)*$K$57-((F64*1.15^5)-(F64*1.15^4))*$K$58)/(1+WACC!$B$27)^4.5+((F64*1.15^5)*0.13*(1-$G$55)+(F64*1.15^5)*$K$56-(F64*1.15^5)*$K$57-((F64*1.15^5)-F64*1.15^4)*$K$58)*(1+$G$59)/(WACC!$B$27-$G$59)/(1+WACC!$B$27)^4.5-B13)/B11)</f>
        <v/>
      </c>
      <c r="E130" s="61">
        <f>IF(B11=0,0,(((F64*1.15^1)*0.15*(1-$G$55)+(F64*1.15^1)*$K$56-(F64*1.15^1)*$K$57-((F64*1.15^1)-(F64*1.15^0))*$K$58)/(1+WACC!$B$27)^0.5+((F64*1.15^2)*0.15*(1-$G$55)+(F64*1.15^2)*$K$56-(F64*1.15^2)*$K$57-((F64*1.15^2)-(F64*1.15^1))*$K$58)/(1+WACC!$B$27)^1.5+((F64*1.15^3)*0.15*(1-$G$55)+(F64*1.15^3)*$K$56-(F64*1.15^3)*$K$57-((F64*1.15^3)-(F64*1.15^2))*$K$58)/(1+WACC!$B$27)^2.5+((F64*1.15^4)*0.15*(1-$G$55)+(F64*1.15^4)*$K$56-(F64*1.15^4)*$K$57-((F64*1.15^4)-(F64*1.15^3))*$K$58)/(1+WACC!$B$27)^3.5+((F64*1.15^5)*0.15*(1-$G$55)+(F64*1.15^5)*$K$56-(F64*1.15^5)*$K$57-((F64*1.15^5)-(F64*1.15^4))*$K$58)/(1+WACC!$B$27)^4.5+((F64*1.15^5)*0.15*(1-$G$55)+(F64*1.15^5)*$K$56-(F64*1.15^5)*$K$57-((F64*1.15^5)-F64*1.15^4)*$K$58)*(1+$G$59)/(WACC!$B$27-$G$59)/(1+WACC!$B$27)^4.5-B13)/B11)</f>
        <v/>
      </c>
      <c r="F130" s="62">
        <f>IF(B11=0,0,(((F64*1.15^1)*0.17*(1-$G$55)+(F64*1.15^1)*$K$56-(F64*1.15^1)*$K$57-((F64*1.15^1)-(F64*1.15^0))*$K$58)/(1+WACC!$B$27)^0.5+((F64*1.15^2)*0.17*(1-$G$55)+(F64*1.15^2)*$K$56-(F64*1.15^2)*$K$57-((F64*1.15^2)-(F64*1.15^1))*$K$58)/(1+WACC!$B$27)^1.5+((F64*1.15^3)*0.17*(1-$G$55)+(F64*1.15^3)*$K$56-(F64*1.15^3)*$K$57-((F64*1.15^3)-(F64*1.15^2))*$K$58)/(1+WACC!$B$27)^2.5+((F64*1.15^4)*0.17*(1-$G$55)+(F64*1.15^4)*$K$56-(F64*1.15^4)*$K$57-((F64*1.15^4)-(F64*1.15^3))*$K$58)/(1+WACC!$B$27)^3.5+((F64*1.15^5)*0.17*(1-$G$55)+(F64*1.15^5)*$K$56-(F64*1.15^5)*$K$57-((F64*1.15^5)-(F64*1.15^4))*$K$58)/(1+WACC!$B$27)^4.5+((F64*1.15^5)*0.17*(1-$G$55)+(F64*1.15^5)*$K$56-(F64*1.15^5)*$K$57-((F64*1.15^5)-F64*1.15^4)*$K$58)*(1+$G$59)/(WACC!$B$27-$G$59)/(1+WACC!$B$27)^4.5-B13)/B11)</f>
        <v/>
      </c>
    </row>
    <row r="131">
      <c r="A131" s="9" t="inlineStr">
        <is>
          <t>18%</t>
        </is>
      </c>
      <c r="B131" s="61">
        <f>IF(B11=0,0,(((F64*1.18^1)*0.08*(1-$G$55)+(F64*1.18^1)*$K$56-(F64*1.18^1)*$K$57-((F64*1.18^1)-(F64*1.18^0))*$K$58)/(1+WACC!$B$27)^0.5+((F64*1.18^2)*0.08*(1-$G$55)+(F64*1.18^2)*$K$56-(F64*1.18^2)*$K$57-((F64*1.18^2)-(F64*1.18^1))*$K$58)/(1+WACC!$B$27)^1.5+((F64*1.18^3)*0.08*(1-$G$55)+(F64*1.18^3)*$K$56-(F64*1.18^3)*$K$57-((F64*1.18^3)-(F64*1.18^2))*$K$58)/(1+WACC!$B$27)^2.5+((F64*1.18^4)*0.08*(1-$G$55)+(F64*1.18^4)*$K$56-(F64*1.18^4)*$K$57-((F64*1.18^4)-(F64*1.18^3))*$K$58)/(1+WACC!$B$27)^3.5+((F64*1.18^5)*0.08*(1-$G$55)+(F64*1.18^5)*$K$56-(F64*1.18^5)*$K$57-((F64*1.18^5)-(F64*1.18^4))*$K$58)/(1+WACC!$B$27)^4.5+((F64*1.18^5)*0.08*(1-$G$55)+(F64*1.18^5)*$K$56-(F64*1.18^5)*$K$57-((F64*1.18^5)-F64*1.18^4)*$K$58)*(1+$G$59)/(WACC!$B$27-$G$59)/(1+WACC!$B$27)^4.5-B13)/B11)</f>
        <v/>
      </c>
      <c r="C131" s="61">
        <f>IF(B11=0,0,(((F64*1.18^1)*0.1*(1-$G$55)+(F64*1.18^1)*$K$56-(F64*1.18^1)*$K$57-((F64*1.18^1)-(F64*1.18^0))*$K$58)/(1+WACC!$B$27)^0.5+((F64*1.18^2)*0.1*(1-$G$55)+(F64*1.18^2)*$K$56-(F64*1.18^2)*$K$57-((F64*1.18^2)-(F64*1.18^1))*$K$58)/(1+WACC!$B$27)^1.5+((F64*1.18^3)*0.1*(1-$G$55)+(F64*1.18^3)*$K$56-(F64*1.18^3)*$K$57-((F64*1.18^3)-(F64*1.18^2))*$K$58)/(1+WACC!$B$27)^2.5+((F64*1.18^4)*0.1*(1-$G$55)+(F64*1.18^4)*$K$56-(F64*1.18^4)*$K$57-((F64*1.18^4)-(F64*1.18^3))*$K$58)/(1+WACC!$B$27)^3.5+((F64*1.18^5)*0.1*(1-$G$55)+(F64*1.18^5)*$K$56-(F64*1.18^5)*$K$57-((F64*1.18^5)-(F64*1.18^4))*$K$58)/(1+WACC!$B$27)^4.5+((F64*1.18^5)*0.1*(1-$G$55)+(F64*1.18^5)*$K$56-(F64*1.18^5)*$K$57-((F64*1.18^5)-F64*1.18^4)*$K$58)*(1+$G$59)/(WACC!$B$27-$G$59)/(1+WACC!$B$27)^4.5-B13)/B11)</f>
        <v/>
      </c>
      <c r="D131" s="61">
        <f>IF(B11=0,0,(((F64*1.18^1)*0.13*(1-$G$55)+(F64*1.18^1)*$K$56-(F64*1.18^1)*$K$57-((F64*1.18^1)-(F64*1.18^0))*$K$58)/(1+WACC!$B$27)^0.5+((F64*1.18^2)*0.13*(1-$G$55)+(F64*1.18^2)*$K$56-(F64*1.18^2)*$K$57-((F64*1.18^2)-(F64*1.18^1))*$K$58)/(1+WACC!$B$27)^1.5+((F64*1.18^3)*0.13*(1-$G$55)+(F64*1.18^3)*$K$56-(F64*1.18^3)*$K$57-((F64*1.18^3)-(F64*1.18^2))*$K$58)/(1+WACC!$B$27)^2.5+((F64*1.18^4)*0.13*(1-$G$55)+(F64*1.18^4)*$K$56-(F64*1.18^4)*$K$57-((F64*1.18^4)-(F64*1.18^3))*$K$58)/(1+WACC!$B$27)^3.5+((F64*1.18^5)*0.13*(1-$G$55)+(F64*1.18^5)*$K$56-(F64*1.18^5)*$K$57-((F64*1.18^5)-(F64*1.18^4))*$K$58)/(1+WACC!$B$27)^4.5+((F64*1.18^5)*0.13*(1-$G$55)+(F64*1.18^5)*$K$56-(F64*1.18^5)*$K$57-((F64*1.18^5)-F64*1.18^4)*$K$58)*(1+$G$59)/(WACC!$B$27-$G$59)/(1+WACC!$B$27)^4.5-B13)/B11)</f>
        <v/>
      </c>
      <c r="E131" s="61">
        <f>IF(B11=0,0,(((F64*1.18^1)*0.15*(1-$G$55)+(F64*1.18^1)*$K$56-(F64*1.18^1)*$K$57-((F64*1.18^1)-(F64*1.18^0))*$K$58)/(1+WACC!$B$27)^0.5+((F64*1.18^2)*0.15*(1-$G$55)+(F64*1.18^2)*$K$56-(F64*1.18^2)*$K$57-((F64*1.18^2)-(F64*1.18^1))*$K$58)/(1+WACC!$B$27)^1.5+((F64*1.18^3)*0.15*(1-$G$55)+(F64*1.18^3)*$K$56-(F64*1.18^3)*$K$57-((F64*1.18^3)-(F64*1.18^2))*$K$58)/(1+WACC!$B$27)^2.5+((F64*1.18^4)*0.15*(1-$G$55)+(F64*1.18^4)*$K$56-(F64*1.18^4)*$K$57-((F64*1.18^4)-(F64*1.18^3))*$K$58)/(1+WACC!$B$27)^3.5+((F64*1.18^5)*0.15*(1-$G$55)+(F64*1.18^5)*$K$56-(F64*1.18^5)*$K$57-((F64*1.18^5)-(F64*1.18^4))*$K$58)/(1+WACC!$B$27)^4.5+((F64*1.18^5)*0.15*(1-$G$55)+(F64*1.18^5)*$K$56-(F64*1.18^5)*$K$57-((F64*1.18^5)-F64*1.18^4)*$K$58)*(1+$G$59)/(WACC!$B$27-$G$59)/(1+WACC!$B$27)^4.5-B13)/B11)</f>
        <v/>
      </c>
      <c r="F131" s="62">
        <f>IF(B11=0,0,(((F64*1.18^1)*0.17*(1-$G$55)+(F64*1.18^1)*$K$56-(F64*1.18^1)*$K$57-((F64*1.18^1)-(F64*1.18^0))*$K$58)/(1+WACC!$B$27)^0.5+((F64*1.18^2)*0.17*(1-$G$55)+(F64*1.18^2)*$K$56-(F64*1.18^2)*$K$57-((F64*1.18^2)-(F64*1.18^1))*$K$58)/(1+WACC!$B$27)^1.5+((F64*1.18^3)*0.17*(1-$G$55)+(F64*1.18^3)*$K$56-(F64*1.18^3)*$K$57-((F64*1.18^3)-(F64*1.18^2))*$K$58)/(1+WACC!$B$27)^2.5+((F64*1.18^4)*0.17*(1-$G$55)+(F64*1.18^4)*$K$56-(F64*1.18^4)*$K$57-((F64*1.18^4)-(F64*1.18^3))*$K$58)/(1+WACC!$B$27)^3.5+((F64*1.18^5)*0.17*(1-$G$55)+(F64*1.18^5)*$K$56-(F64*1.18^5)*$K$57-((F64*1.18^5)-(F64*1.18^4))*$K$58)/(1+WACC!$B$27)^4.5+((F64*1.18^5)*0.17*(1-$G$55)+(F64*1.18^5)*$K$56-(F64*1.18^5)*$K$57-((F64*1.18^5)-F64*1.18^4)*$K$58)*(1+$G$59)/(WACC!$B$27-$G$59)/(1+WACC!$B$27)^4.5-B13)/B11)</f>
        <v/>
      </c>
    </row>
    <row r="132">
      <c r="A132" s="67" t="inlineStr">
        <is>
          <t>22%</t>
        </is>
      </c>
      <c r="B132" s="65">
        <f>IF(B11=0,0,(((F64*1.22^1)*0.08*(1-$G$55)+(F64*1.22^1)*$K$56-(F64*1.22^1)*$K$57-((F64*1.22^1)-(F64*1.22^0))*$K$58)/(1+WACC!$B$27)^0.5+((F64*1.22^2)*0.08*(1-$G$55)+(F64*1.22^2)*$K$56-(F64*1.22^2)*$K$57-((F64*1.22^2)-(F64*1.22^1))*$K$58)/(1+WACC!$B$27)^1.5+((F64*1.22^3)*0.08*(1-$G$55)+(F64*1.22^3)*$K$56-(F64*1.22^3)*$K$57-((F64*1.22^3)-(F64*1.22^2))*$K$58)/(1+WACC!$B$27)^2.5+((F64*1.22^4)*0.08*(1-$G$55)+(F64*1.22^4)*$K$56-(F64*1.22^4)*$K$57-((F64*1.22^4)-(F64*1.22^3))*$K$58)/(1+WACC!$B$27)^3.5+((F64*1.22^5)*0.08*(1-$G$55)+(F64*1.22^5)*$K$56-(F64*1.22^5)*$K$57-((F64*1.22^5)-(F64*1.22^4))*$K$58)/(1+WACC!$B$27)^4.5+((F64*1.22^5)*0.08*(1-$G$55)+(F64*1.22^5)*$K$56-(F64*1.22^5)*$K$57-((F64*1.22^5)-F64*1.22^4)*$K$58)*(1+$G$59)/(WACC!$B$27-$G$59)/(1+WACC!$B$27)^4.5-B13)/B11)</f>
        <v/>
      </c>
      <c r="C132" s="65">
        <f>IF(B11=0,0,(((F64*1.22^1)*0.1*(1-$G$55)+(F64*1.22^1)*$K$56-(F64*1.22^1)*$K$57-((F64*1.22^1)-(F64*1.22^0))*$K$58)/(1+WACC!$B$27)^0.5+((F64*1.22^2)*0.1*(1-$G$55)+(F64*1.22^2)*$K$56-(F64*1.22^2)*$K$57-((F64*1.22^2)-(F64*1.22^1))*$K$58)/(1+WACC!$B$27)^1.5+((F64*1.22^3)*0.1*(1-$G$55)+(F64*1.22^3)*$K$56-(F64*1.22^3)*$K$57-((F64*1.22^3)-(F64*1.22^2))*$K$58)/(1+WACC!$B$27)^2.5+((F64*1.22^4)*0.1*(1-$G$55)+(F64*1.22^4)*$K$56-(F64*1.22^4)*$K$57-((F64*1.22^4)-(F64*1.22^3))*$K$58)/(1+WACC!$B$27)^3.5+((F64*1.22^5)*0.1*(1-$G$55)+(F64*1.22^5)*$K$56-(F64*1.22^5)*$K$57-((F64*1.22^5)-(F64*1.22^4))*$K$58)/(1+WACC!$B$27)^4.5+((F64*1.22^5)*0.1*(1-$G$55)+(F64*1.22^5)*$K$56-(F64*1.22^5)*$K$57-((F64*1.22^5)-F64*1.22^4)*$K$58)*(1+$G$59)/(WACC!$B$27-$G$59)/(1+WACC!$B$27)^4.5-B13)/B11)</f>
        <v/>
      </c>
      <c r="D132" s="65">
        <f>IF(B11=0,0,(((F64*1.22^1)*0.13*(1-$G$55)+(F64*1.22^1)*$K$56-(F64*1.22^1)*$K$57-((F64*1.22^1)-(F64*1.22^0))*$K$58)/(1+WACC!$B$27)^0.5+((F64*1.22^2)*0.13*(1-$G$55)+(F64*1.22^2)*$K$56-(F64*1.22^2)*$K$57-((F64*1.22^2)-(F64*1.22^1))*$K$58)/(1+WACC!$B$27)^1.5+((F64*1.22^3)*0.13*(1-$G$55)+(F64*1.22^3)*$K$56-(F64*1.22^3)*$K$57-((F64*1.22^3)-(F64*1.22^2))*$K$58)/(1+WACC!$B$27)^2.5+((F64*1.22^4)*0.13*(1-$G$55)+(F64*1.22^4)*$K$56-(F64*1.22^4)*$K$57-((F64*1.22^4)-(F64*1.22^3))*$K$58)/(1+WACC!$B$27)^3.5+((F64*1.22^5)*0.13*(1-$G$55)+(F64*1.22^5)*$K$56-(F64*1.22^5)*$K$57-((F64*1.22^5)-(F64*1.22^4))*$K$58)/(1+WACC!$B$27)^4.5+((F64*1.22^5)*0.13*(1-$G$55)+(F64*1.22^5)*$K$56-(F64*1.22^5)*$K$57-((F64*1.22^5)-F64*1.22^4)*$K$58)*(1+$G$59)/(WACC!$B$27-$G$59)/(1+WACC!$B$27)^4.5-B13)/B11)</f>
        <v/>
      </c>
      <c r="E132" s="65">
        <f>IF(B11=0,0,(((F64*1.22^1)*0.15*(1-$G$55)+(F64*1.22^1)*$K$56-(F64*1.22^1)*$K$57-((F64*1.22^1)-(F64*1.22^0))*$K$58)/(1+WACC!$B$27)^0.5+((F64*1.22^2)*0.15*(1-$G$55)+(F64*1.22^2)*$K$56-(F64*1.22^2)*$K$57-((F64*1.22^2)-(F64*1.22^1))*$K$58)/(1+WACC!$B$27)^1.5+((F64*1.22^3)*0.15*(1-$G$55)+(F64*1.22^3)*$K$56-(F64*1.22^3)*$K$57-((F64*1.22^3)-(F64*1.22^2))*$K$58)/(1+WACC!$B$27)^2.5+((F64*1.22^4)*0.15*(1-$G$55)+(F64*1.22^4)*$K$56-(F64*1.22^4)*$K$57-((F64*1.22^4)-(F64*1.22^3))*$K$58)/(1+WACC!$B$27)^3.5+((F64*1.22^5)*0.15*(1-$G$55)+(F64*1.22^5)*$K$56-(F64*1.22^5)*$K$57-((F64*1.22^5)-(F64*1.22^4))*$K$58)/(1+WACC!$B$27)^4.5+((F64*1.22^5)*0.15*(1-$G$55)+(F64*1.22^5)*$K$56-(F64*1.22^5)*$K$57-((F64*1.22^5)-F64*1.22^4)*$K$58)*(1+$G$59)/(WACC!$B$27-$G$59)/(1+WACC!$B$27)^4.5-B13)/B11)</f>
        <v/>
      </c>
      <c r="F132" s="66">
        <f>IF(B11=0,0,(((F64*1.22^1)*0.17*(1-$G$55)+(F64*1.22^1)*$K$56-(F64*1.22^1)*$K$57-((F64*1.22^1)-(F64*1.22^0))*$K$58)/(1+WACC!$B$27)^0.5+((F64*1.22^2)*0.17*(1-$G$55)+(F64*1.22^2)*$K$56-(F64*1.22^2)*$K$57-((F64*1.22^2)-(F64*1.22^1))*$K$58)/(1+WACC!$B$27)^1.5+((F64*1.22^3)*0.17*(1-$G$55)+(F64*1.22^3)*$K$56-(F64*1.22^3)*$K$57-((F64*1.22^3)-(F64*1.22^2))*$K$58)/(1+WACC!$B$27)^2.5+((F64*1.22^4)*0.17*(1-$G$55)+(F64*1.22^4)*$K$56-(F64*1.22^4)*$K$57-((F64*1.22^4)-(F64*1.22^3))*$K$58)/(1+WACC!$B$27)^3.5+((F64*1.22^5)*0.17*(1-$G$55)+(F64*1.22^5)*$K$56-(F64*1.22^5)*$K$57-((F64*1.22^5)-(F64*1.22^4))*$K$58)/(1+WACC!$B$27)^4.5+((F64*1.22^5)*0.17*(1-$G$55)+(F64*1.22^5)*$K$56-(F64*1.22^5)*$K$57-((F64*1.22^5)-F64*1.22^4)*$K$58)*(1+$G$59)/(WACC!$B$27-$G$59)/(1+WACC!$B$27)^4.5-B13)/B11)</f>
        <v/>
      </c>
    </row>
    <row r="135">
      <c r="A135" s="6" t="inlineStr">
        <is>
          <t>SENSITIVITY 3 — Implied Price: Beta vs Risk-Free Rate</t>
        </is>
      </c>
      <c r="B135" s="7" t="n"/>
      <c r="C135" s="7" t="n"/>
      <c r="D135" s="7" t="n"/>
      <c r="E135" s="7" t="n"/>
      <c r="F135" s="8" t="n"/>
      <c r="G135" s="44" t="n"/>
      <c r="H135" s="44" t="n"/>
      <c r="I135" s="44" t="n"/>
      <c r="J135" s="44" t="n"/>
    </row>
    <row r="136">
      <c r="A136" s="57" t="inlineStr">
        <is>
          <t>Beta \ Risk-Free</t>
        </is>
      </c>
      <c r="B136" s="58" t="n">
        <v>0.04</v>
      </c>
      <c r="C136" s="58" t="n">
        <v>0.045</v>
      </c>
      <c r="D136" s="58" t="n">
        <v>0.0468</v>
      </c>
      <c r="E136" s="58" t="n">
        <v>0.05</v>
      </c>
      <c r="F136" s="59" t="n">
        <v>0.055</v>
      </c>
    </row>
    <row r="137">
      <c r="A137" s="68" t="n">
        <v>0.9</v>
      </c>
      <c r="B137" s="61">
        <f>IF(B11=0,0,(G91/(1+((0.04+0.9*0.055)*WACC!$B$22/(WACC!$B$22+WACC!$B$24)+WACC!$B$19*(1-WACC!$B$17)*WACC!$B$24/(WACC!$B$22+WACC!$B$24)))^0.5+H91/(1+((0.04+0.9*0.055)*WACC!$B$22/(WACC!$B$22+WACC!$B$24)+WACC!$B$19*(1-WACC!$B$17)*WACC!$B$24/(WACC!$B$22+WACC!$B$24)))^1.5+I91/(1+((0.04+0.9*0.055)*WACC!$B$22/(WACC!$B$22+WACC!$B$24)+WACC!$B$19*(1-WACC!$B$17)*WACC!$B$24/(WACC!$B$22+WACC!$B$24)))^2.5+J91/(1+((0.04+0.9*0.055)*WACC!$B$22/(WACC!$B$22+WACC!$B$24)+WACC!$B$19*(1-WACC!$B$17)*WACC!$B$24/(WACC!$B$22+WACC!$B$24)))^3.5+K91/(1+((0.04+0.9*0.055)*WACC!$B$22/(WACC!$B$22+WACC!$B$24)+WACC!$B$19*(1-WACC!$B$17)*WACC!$B$24/(WACC!$B$22+WACC!$B$24)))^4.5+(K91*(1+$G$59)/(((0.04+0.9*0.055)*WACC!$B$22/(WACC!$B$22+WACC!$B$24)+WACC!$B$19*(1-WACC!$B$17)*WACC!$B$24/(WACC!$B$22+WACC!$B$24))-$G$59))/(1+((0.04+0.9*0.055)*WACC!$B$22/(WACC!$B$22+WACC!$B$24)+WACC!$B$19*(1-WACC!$B$17)*WACC!$B$24/(WACC!$B$22+WACC!$B$24)))^4.5-B13)/B11)</f>
        <v/>
      </c>
      <c r="C137" s="61">
        <f>IF(B11=0,0,(G91/(1+((0.045+0.9*0.055)*WACC!$B$22/(WACC!$B$22+WACC!$B$24)+WACC!$B$19*(1-WACC!$B$17)*WACC!$B$24/(WACC!$B$22+WACC!$B$24)))^0.5+H91/(1+((0.045+0.9*0.055)*WACC!$B$22/(WACC!$B$22+WACC!$B$24)+WACC!$B$19*(1-WACC!$B$17)*WACC!$B$24/(WACC!$B$22+WACC!$B$24)))^1.5+I91/(1+((0.045+0.9*0.055)*WACC!$B$22/(WACC!$B$22+WACC!$B$24)+WACC!$B$19*(1-WACC!$B$17)*WACC!$B$24/(WACC!$B$22+WACC!$B$24)))^2.5+J91/(1+((0.045+0.9*0.055)*WACC!$B$22/(WACC!$B$22+WACC!$B$24)+WACC!$B$19*(1-WACC!$B$17)*WACC!$B$24/(WACC!$B$22+WACC!$B$24)))^3.5+K91/(1+((0.045+0.9*0.055)*WACC!$B$22/(WACC!$B$22+WACC!$B$24)+WACC!$B$19*(1-WACC!$B$17)*WACC!$B$24/(WACC!$B$22+WACC!$B$24)))^4.5+(K91*(1+$G$59)/(((0.045+0.9*0.055)*WACC!$B$22/(WACC!$B$22+WACC!$B$24)+WACC!$B$19*(1-WACC!$B$17)*WACC!$B$24/(WACC!$B$22+WACC!$B$24))-$G$59))/(1+((0.045+0.9*0.055)*WACC!$B$22/(WACC!$B$22+WACC!$B$24)+WACC!$B$19*(1-WACC!$B$17)*WACC!$B$24/(WACC!$B$22+WACC!$B$24)))^4.5-B13)/B11)</f>
        <v/>
      </c>
      <c r="D137" s="61">
        <f>IF(B11=0,0,(G91/(1+((0.0468+0.9*0.055)*WACC!$B$22/(WACC!$B$22+WACC!$B$24)+WACC!$B$19*(1-WACC!$B$17)*WACC!$B$24/(WACC!$B$22+WACC!$B$24)))^0.5+H91/(1+((0.0468+0.9*0.055)*WACC!$B$22/(WACC!$B$22+WACC!$B$24)+WACC!$B$19*(1-WACC!$B$17)*WACC!$B$24/(WACC!$B$22+WACC!$B$24)))^1.5+I91/(1+((0.0468+0.9*0.055)*WACC!$B$22/(WACC!$B$22+WACC!$B$24)+WACC!$B$19*(1-WACC!$B$17)*WACC!$B$24/(WACC!$B$22+WACC!$B$24)))^2.5+J91/(1+((0.0468+0.9*0.055)*WACC!$B$22/(WACC!$B$22+WACC!$B$24)+WACC!$B$19*(1-WACC!$B$17)*WACC!$B$24/(WACC!$B$22+WACC!$B$24)))^3.5+K91/(1+((0.0468+0.9*0.055)*WACC!$B$22/(WACC!$B$22+WACC!$B$24)+WACC!$B$19*(1-WACC!$B$17)*WACC!$B$24/(WACC!$B$22+WACC!$B$24)))^4.5+(K91*(1+$G$59)/(((0.0468+0.9*0.055)*WACC!$B$22/(WACC!$B$22+WACC!$B$24)+WACC!$B$19*(1-WACC!$B$17)*WACC!$B$24/(WACC!$B$22+WACC!$B$24))-$G$59))/(1+((0.0468+0.9*0.055)*WACC!$B$22/(WACC!$B$22+WACC!$B$24)+WACC!$B$19*(1-WACC!$B$17)*WACC!$B$24/(WACC!$B$22+WACC!$B$24)))^4.5-B13)/B11)</f>
        <v/>
      </c>
      <c r="E137" s="61">
        <f>IF(B11=0,0,(G91/(1+((0.05+0.9*0.055)*WACC!$B$22/(WACC!$B$22+WACC!$B$24)+WACC!$B$19*(1-WACC!$B$17)*WACC!$B$24/(WACC!$B$22+WACC!$B$24)))^0.5+H91/(1+((0.05+0.9*0.055)*WACC!$B$22/(WACC!$B$22+WACC!$B$24)+WACC!$B$19*(1-WACC!$B$17)*WACC!$B$24/(WACC!$B$22+WACC!$B$24)))^1.5+I91/(1+((0.05+0.9*0.055)*WACC!$B$22/(WACC!$B$22+WACC!$B$24)+WACC!$B$19*(1-WACC!$B$17)*WACC!$B$24/(WACC!$B$22+WACC!$B$24)))^2.5+J91/(1+((0.05+0.9*0.055)*WACC!$B$22/(WACC!$B$22+WACC!$B$24)+WACC!$B$19*(1-WACC!$B$17)*WACC!$B$24/(WACC!$B$22+WACC!$B$24)))^3.5+K91/(1+((0.05+0.9*0.055)*WACC!$B$22/(WACC!$B$22+WACC!$B$24)+WACC!$B$19*(1-WACC!$B$17)*WACC!$B$24/(WACC!$B$22+WACC!$B$24)))^4.5+(K91*(1+$G$59)/(((0.05+0.9*0.055)*WACC!$B$22/(WACC!$B$22+WACC!$B$24)+WACC!$B$19*(1-WACC!$B$17)*WACC!$B$24/(WACC!$B$22+WACC!$B$24))-$G$59))/(1+((0.05+0.9*0.055)*WACC!$B$22/(WACC!$B$22+WACC!$B$24)+WACC!$B$19*(1-WACC!$B$17)*WACC!$B$24/(WACC!$B$22+WACC!$B$24)))^4.5-B13)/B11)</f>
        <v/>
      </c>
      <c r="F137" s="62">
        <f>IF(B11=0,0,(G91/(1+((0.055+0.9*0.055)*WACC!$B$22/(WACC!$B$22+WACC!$B$24)+WACC!$B$19*(1-WACC!$B$17)*WACC!$B$24/(WACC!$B$22+WACC!$B$24)))^0.5+H91/(1+((0.055+0.9*0.055)*WACC!$B$22/(WACC!$B$22+WACC!$B$24)+WACC!$B$19*(1-WACC!$B$17)*WACC!$B$24/(WACC!$B$22+WACC!$B$24)))^1.5+I91/(1+((0.055+0.9*0.055)*WACC!$B$22/(WACC!$B$22+WACC!$B$24)+WACC!$B$19*(1-WACC!$B$17)*WACC!$B$24/(WACC!$B$22+WACC!$B$24)))^2.5+J91/(1+((0.055+0.9*0.055)*WACC!$B$22/(WACC!$B$22+WACC!$B$24)+WACC!$B$19*(1-WACC!$B$17)*WACC!$B$24/(WACC!$B$22+WACC!$B$24)))^3.5+K91/(1+((0.055+0.9*0.055)*WACC!$B$22/(WACC!$B$22+WACC!$B$24)+WACC!$B$19*(1-WACC!$B$17)*WACC!$B$24/(WACC!$B$22+WACC!$B$24)))^4.5+(K91*(1+$G$59)/(((0.055+0.9*0.055)*WACC!$B$22/(WACC!$B$22+WACC!$B$24)+WACC!$B$19*(1-WACC!$B$17)*WACC!$B$24/(WACC!$B$22+WACC!$B$24))-$G$59))/(1+((0.055+0.9*0.055)*WACC!$B$22/(WACC!$B$22+WACC!$B$24)+WACC!$B$19*(1-WACC!$B$17)*WACC!$B$24/(WACC!$B$22+WACC!$B$24)))^4.5-B13)/B11)</f>
        <v/>
      </c>
    </row>
    <row r="138">
      <c r="A138" s="68" t="n">
        <v>1.1</v>
      </c>
      <c r="B138" s="61">
        <f>IF(B11=0,0,(G91/(1+((0.04+1.1*0.055)*WACC!$B$22/(WACC!$B$22+WACC!$B$24)+WACC!$B$19*(1-WACC!$B$17)*WACC!$B$24/(WACC!$B$22+WACC!$B$24)))^0.5+H91/(1+((0.04+1.1*0.055)*WACC!$B$22/(WACC!$B$22+WACC!$B$24)+WACC!$B$19*(1-WACC!$B$17)*WACC!$B$24/(WACC!$B$22+WACC!$B$24)))^1.5+I91/(1+((0.04+1.1*0.055)*WACC!$B$22/(WACC!$B$22+WACC!$B$24)+WACC!$B$19*(1-WACC!$B$17)*WACC!$B$24/(WACC!$B$22+WACC!$B$24)))^2.5+J91/(1+((0.04+1.1*0.055)*WACC!$B$22/(WACC!$B$22+WACC!$B$24)+WACC!$B$19*(1-WACC!$B$17)*WACC!$B$24/(WACC!$B$22+WACC!$B$24)))^3.5+K91/(1+((0.04+1.1*0.055)*WACC!$B$22/(WACC!$B$22+WACC!$B$24)+WACC!$B$19*(1-WACC!$B$17)*WACC!$B$24/(WACC!$B$22+WACC!$B$24)))^4.5+(K91*(1+$G$59)/(((0.04+1.1*0.055)*WACC!$B$22/(WACC!$B$22+WACC!$B$24)+WACC!$B$19*(1-WACC!$B$17)*WACC!$B$24/(WACC!$B$22+WACC!$B$24))-$G$59))/(1+((0.04+1.1*0.055)*WACC!$B$22/(WACC!$B$22+WACC!$B$24)+WACC!$B$19*(1-WACC!$B$17)*WACC!$B$24/(WACC!$B$22+WACC!$B$24)))^4.5-B13)/B11)</f>
        <v/>
      </c>
      <c r="C138" s="61">
        <f>IF(B11=0,0,(G91/(1+((0.045+1.1*0.055)*WACC!$B$22/(WACC!$B$22+WACC!$B$24)+WACC!$B$19*(1-WACC!$B$17)*WACC!$B$24/(WACC!$B$22+WACC!$B$24)))^0.5+H91/(1+((0.045+1.1*0.055)*WACC!$B$22/(WACC!$B$22+WACC!$B$24)+WACC!$B$19*(1-WACC!$B$17)*WACC!$B$24/(WACC!$B$22+WACC!$B$24)))^1.5+I91/(1+((0.045+1.1*0.055)*WACC!$B$22/(WACC!$B$22+WACC!$B$24)+WACC!$B$19*(1-WACC!$B$17)*WACC!$B$24/(WACC!$B$22+WACC!$B$24)))^2.5+J91/(1+((0.045+1.1*0.055)*WACC!$B$22/(WACC!$B$22+WACC!$B$24)+WACC!$B$19*(1-WACC!$B$17)*WACC!$B$24/(WACC!$B$22+WACC!$B$24)))^3.5+K91/(1+((0.045+1.1*0.055)*WACC!$B$22/(WACC!$B$22+WACC!$B$24)+WACC!$B$19*(1-WACC!$B$17)*WACC!$B$24/(WACC!$B$22+WACC!$B$24)))^4.5+(K91*(1+$G$59)/(((0.045+1.1*0.055)*WACC!$B$22/(WACC!$B$22+WACC!$B$24)+WACC!$B$19*(1-WACC!$B$17)*WACC!$B$24/(WACC!$B$22+WACC!$B$24))-$G$59))/(1+((0.045+1.1*0.055)*WACC!$B$22/(WACC!$B$22+WACC!$B$24)+WACC!$B$19*(1-WACC!$B$17)*WACC!$B$24/(WACC!$B$22+WACC!$B$24)))^4.5-B13)/B11)</f>
        <v/>
      </c>
      <c r="D138" s="61">
        <f>IF(B11=0,0,(G91/(1+((0.0468+1.1*0.055)*WACC!$B$22/(WACC!$B$22+WACC!$B$24)+WACC!$B$19*(1-WACC!$B$17)*WACC!$B$24/(WACC!$B$22+WACC!$B$24)))^0.5+H91/(1+((0.0468+1.1*0.055)*WACC!$B$22/(WACC!$B$22+WACC!$B$24)+WACC!$B$19*(1-WACC!$B$17)*WACC!$B$24/(WACC!$B$22+WACC!$B$24)))^1.5+I91/(1+((0.0468+1.1*0.055)*WACC!$B$22/(WACC!$B$22+WACC!$B$24)+WACC!$B$19*(1-WACC!$B$17)*WACC!$B$24/(WACC!$B$22+WACC!$B$24)))^2.5+J91/(1+((0.0468+1.1*0.055)*WACC!$B$22/(WACC!$B$22+WACC!$B$24)+WACC!$B$19*(1-WACC!$B$17)*WACC!$B$24/(WACC!$B$22+WACC!$B$24)))^3.5+K91/(1+((0.0468+1.1*0.055)*WACC!$B$22/(WACC!$B$22+WACC!$B$24)+WACC!$B$19*(1-WACC!$B$17)*WACC!$B$24/(WACC!$B$22+WACC!$B$24)))^4.5+(K91*(1+$G$59)/(((0.0468+1.1*0.055)*WACC!$B$22/(WACC!$B$22+WACC!$B$24)+WACC!$B$19*(1-WACC!$B$17)*WACC!$B$24/(WACC!$B$22+WACC!$B$24))-$G$59))/(1+((0.0468+1.1*0.055)*WACC!$B$22/(WACC!$B$22+WACC!$B$24)+WACC!$B$19*(1-WACC!$B$17)*WACC!$B$24/(WACC!$B$22+WACC!$B$24)))^4.5-B13)/B11)</f>
        <v/>
      </c>
      <c r="E138" s="61">
        <f>IF(B11=0,0,(G91/(1+((0.05+1.1*0.055)*WACC!$B$22/(WACC!$B$22+WACC!$B$24)+WACC!$B$19*(1-WACC!$B$17)*WACC!$B$24/(WACC!$B$22+WACC!$B$24)))^0.5+H91/(1+((0.05+1.1*0.055)*WACC!$B$22/(WACC!$B$22+WACC!$B$24)+WACC!$B$19*(1-WACC!$B$17)*WACC!$B$24/(WACC!$B$22+WACC!$B$24)))^1.5+I91/(1+((0.05+1.1*0.055)*WACC!$B$22/(WACC!$B$22+WACC!$B$24)+WACC!$B$19*(1-WACC!$B$17)*WACC!$B$24/(WACC!$B$22+WACC!$B$24)))^2.5+J91/(1+((0.05+1.1*0.055)*WACC!$B$22/(WACC!$B$22+WACC!$B$24)+WACC!$B$19*(1-WACC!$B$17)*WACC!$B$24/(WACC!$B$22+WACC!$B$24)))^3.5+K91/(1+((0.05+1.1*0.055)*WACC!$B$22/(WACC!$B$22+WACC!$B$24)+WACC!$B$19*(1-WACC!$B$17)*WACC!$B$24/(WACC!$B$22+WACC!$B$24)))^4.5+(K91*(1+$G$59)/(((0.05+1.1*0.055)*WACC!$B$22/(WACC!$B$22+WACC!$B$24)+WACC!$B$19*(1-WACC!$B$17)*WACC!$B$24/(WACC!$B$22+WACC!$B$24))-$G$59))/(1+((0.05+1.1*0.055)*WACC!$B$22/(WACC!$B$22+WACC!$B$24)+WACC!$B$19*(1-WACC!$B$17)*WACC!$B$24/(WACC!$B$22+WACC!$B$24)))^4.5-B13)/B11)</f>
        <v/>
      </c>
      <c r="F138" s="62">
        <f>IF(B11=0,0,(G91/(1+((0.055+1.1*0.055)*WACC!$B$22/(WACC!$B$22+WACC!$B$24)+WACC!$B$19*(1-WACC!$B$17)*WACC!$B$24/(WACC!$B$22+WACC!$B$24)))^0.5+H91/(1+((0.055+1.1*0.055)*WACC!$B$22/(WACC!$B$22+WACC!$B$24)+WACC!$B$19*(1-WACC!$B$17)*WACC!$B$24/(WACC!$B$22+WACC!$B$24)))^1.5+I91/(1+((0.055+1.1*0.055)*WACC!$B$22/(WACC!$B$22+WACC!$B$24)+WACC!$B$19*(1-WACC!$B$17)*WACC!$B$24/(WACC!$B$22+WACC!$B$24)))^2.5+J91/(1+((0.055+1.1*0.055)*WACC!$B$22/(WACC!$B$22+WACC!$B$24)+WACC!$B$19*(1-WACC!$B$17)*WACC!$B$24/(WACC!$B$22+WACC!$B$24)))^3.5+K91/(1+((0.055+1.1*0.055)*WACC!$B$22/(WACC!$B$22+WACC!$B$24)+WACC!$B$19*(1-WACC!$B$17)*WACC!$B$24/(WACC!$B$22+WACC!$B$24)))^4.5+(K91*(1+$G$59)/(((0.055+1.1*0.055)*WACC!$B$22/(WACC!$B$22+WACC!$B$24)+WACC!$B$19*(1-WACC!$B$17)*WACC!$B$24/(WACC!$B$22+WACC!$B$24))-$G$59))/(1+((0.055+1.1*0.055)*WACC!$B$22/(WACC!$B$22+WACC!$B$24)+WACC!$B$19*(1-WACC!$B$17)*WACC!$B$24/(WACC!$B$22+WACC!$B$24)))^4.5-B13)/B11)</f>
        <v/>
      </c>
    </row>
    <row r="139">
      <c r="A139" s="68" t="n">
        <v>1.3756</v>
      </c>
      <c r="B139" s="61">
        <f>IF(B11=0,0,(G91/(1+((0.04+1.3756*0.055)*WACC!$B$22/(WACC!$B$22+WACC!$B$24)+WACC!$B$19*(1-WACC!$B$17)*WACC!$B$24/(WACC!$B$22+WACC!$B$24)))^0.5+H91/(1+((0.04+1.3756*0.055)*WACC!$B$22/(WACC!$B$22+WACC!$B$24)+WACC!$B$19*(1-WACC!$B$17)*WACC!$B$24/(WACC!$B$22+WACC!$B$24)))^1.5+I91/(1+((0.04+1.3756*0.055)*WACC!$B$22/(WACC!$B$22+WACC!$B$24)+WACC!$B$19*(1-WACC!$B$17)*WACC!$B$24/(WACC!$B$22+WACC!$B$24)))^2.5+J91/(1+((0.04+1.3756*0.055)*WACC!$B$22/(WACC!$B$22+WACC!$B$24)+WACC!$B$19*(1-WACC!$B$17)*WACC!$B$24/(WACC!$B$22+WACC!$B$24)))^3.5+K91/(1+((0.04+1.3756*0.055)*WACC!$B$22/(WACC!$B$22+WACC!$B$24)+WACC!$B$19*(1-WACC!$B$17)*WACC!$B$24/(WACC!$B$22+WACC!$B$24)))^4.5+(K91*(1+$G$59)/(((0.04+1.3756*0.055)*WACC!$B$22/(WACC!$B$22+WACC!$B$24)+WACC!$B$19*(1-WACC!$B$17)*WACC!$B$24/(WACC!$B$22+WACC!$B$24))-$G$59))/(1+((0.04+1.3756*0.055)*WACC!$B$22/(WACC!$B$22+WACC!$B$24)+WACC!$B$19*(1-WACC!$B$17)*WACC!$B$24/(WACC!$B$22+WACC!$B$24)))^4.5-B13)/B11)</f>
        <v/>
      </c>
      <c r="C139" s="61">
        <f>IF(B11=0,0,(G91/(1+((0.045+1.3756*0.055)*WACC!$B$22/(WACC!$B$22+WACC!$B$24)+WACC!$B$19*(1-WACC!$B$17)*WACC!$B$24/(WACC!$B$22+WACC!$B$24)))^0.5+H91/(1+((0.045+1.3756*0.055)*WACC!$B$22/(WACC!$B$22+WACC!$B$24)+WACC!$B$19*(1-WACC!$B$17)*WACC!$B$24/(WACC!$B$22+WACC!$B$24)))^1.5+I91/(1+((0.045+1.3756*0.055)*WACC!$B$22/(WACC!$B$22+WACC!$B$24)+WACC!$B$19*(1-WACC!$B$17)*WACC!$B$24/(WACC!$B$22+WACC!$B$24)))^2.5+J91/(1+((0.045+1.3756*0.055)*WACC!$B$22/(WACC!$B$22+WACC!$B$24)+WACC!$B$19*(1-WACC!$B$17)*WACC!$B$24/(WACC!$B$22+WACC!$B$24)))^3.5+K91/(1+((0.045+1.3756*0.055)*WACC!$B$22/(WACC!$B$22+WACC!$B$24)+WACC!$B$19*(1-WACC!$B$17)*WACC!$B$24/(WACC!$B$22+WACC!$B$24)))^4.5+(K91*(1+$G$59)/(((0.045+1.3756*0.055)*WACC!$B$22/(WACC!$B$22+WACC!$B$24)+WACC!$B$19*(1-WACC!$B$17)*WACC!$B$24/(WACC!$B$22+WACC!$B$24))-$G$59))/(1+((0.045+1.3756*0.055)*WACC!$B$22/(WACC!$B$22+WACC!$B$24)+WACC!$B$19*(1-WACC!$B$17)*WACC!$B$24/(WACC!$B$22+WACC!$B$24)))^4.5-B13)/B11)</f>
        <v/>
      </c>
      <c r="D139" s="63">
        <f>IF(B11=0,0,(G91/(1+((0.0468+1.3756*0.055)*WACC!$B$22/(WACC!$B$22+WACC!$B$24)+WACC!$B$19*(1-WACC!$B$17)*WACC!$B$24/(WACC!$B$22+WACC!$B$24)))^0.5+H91/(1+((0.0468+1.3756*0.055)*WACC!$B$22/(WACC!$B$22+WACC!$B$24)+WACC!$B$19*(1-WACC!$B$17)*WACC!$B$24/(WACC!$B$22+WACC!$B$24)))^1.5+I91/(1+((0.0468+1.3756*0.055)*WACC!$B$22/(WACC!$B$22+WACC!$B$24)+WACC!$B$19*(1-WACC!$B$17)*WACC!$B$24/(WACC!$B$22+WACC!$B$24)))^2.5+J91/(1+((0.0468+1.3756*0.055)*WACC!$B$22/(WACC!$B$22+WACC!$B$24)+WACC!$B$19*(1-WACC!$B$17)*WACC!$B$24/(WACC!$B$22+WACC!$B$24)))^3.5+K91/(1+((0.0468+1.3756*0.055)*WACC!$B$22/(WACC!$B$22+WACC!$B$24)+WACC!$B$19*(1-WACC!$B$17)*WACC!$B$24/(WACC!$B$22+WACC!$B$24)))^4.5+(K91*(1+$G$59)/(((0.0468+1.3756*0.055)*WACC!$B$22/(WACC!$B$22+WACC!$B$24)+WACC!$B$19*(1-WACC!$B$17)*WACC!$B$24/(WACC!$B$22+WACC!$B$24))-$G$59))/(1+((0.0468+1.3756*0.055)*WACC!$B$22/(WACC!$B$22+WACC!$B$24)+WACC!$B$19*(1-WACC!$B$17)*WACC!$B$24/(WACC!$B$22+WACC!$B$24)))^4.5-B13)/B11)</f>
        <v/>
      </c>
      <c r="E139" s="61">
        <f>IF(B11=0,0,(G91/(1+((0.05+1.3756*0.055)*WACC!$B$22/(WACC!$B$22+WACC!$B$24)+WACC!$B$19*(1-WACC!$B$17)*WACC!$B$24/(WACC!$B$22+WACC!$B$24)))^0.5+H91/(1+((0.05+1.3756*0.055)*WACC!$B$22/(WACC!$B$22+WACC!$B$24)+WACC!$B$19*(1-WACC!$B$17)*WACC!$B$24/(WACC!$B$22+WACC!$B$24)))^1.5+I91/(1+((0.05+1.3756*0.055)*WACC!$B$22/(WACC!$B$22+WACC!$B$24)+WACC!$B$19*(1-WACC!$B$17)*WACC!$B$24/(WACC!$B$22+WACC!$B$24)))^2.5+J91/(1+((0.05+1.3756*0.055)*WACC!$B$22/(WACC!$B$22+WACC!$B$24)+WACC!$B$19*(1-WACC!$B$17)*WACC!$B$24/(WACC!$B$22+WACC!$B$24)))^3.5+K91/(1+((0.05+1.3756*0.055)*WACC!$B$22/(WACC!$B$22+WACC!$B$24)+WACC!$B$19*(1-WACC!$B$17)*WACC!$B$24/(WACC!$B$22+WACC!$B$24)))^4.5+(K91*(1+$G$59)/(((0.05+1.3756*0.055)*WACC!$B$22/(WACC!$B$22+WACC!$B$24)+WACC!$B$19*(1-WACC!$B$17)*WACC!$B$24/(WACC!$B$22+WACC!$B$24))-$G$59))/(1+((0.05+1.3756*0.055)*WACC!$B$22/(WACC!$B$22+WACC!$B$24)+WACC!$B$19*(1-WACC!$B$17)*WACC!$B$24/(WACC!$B$22+WACC!$B$24)))^4.5-B13)/B11)</f>
        <v/>
      </c>
      <c r="F139" s="62">
        <f>IF(B11=0,0,(G91/(1+((0.055+1.3756*0.055)*WACC!$B$22/(WACC!$B$22+WACC!$B$24)+WACC!$B$19*(1-WACC!$B$17)*WACC!$B$24/(WACC!$B$22+WACC!$B$24)))^0.5+H91/(1+((0.055+1.3756*0.055)*WACC!$B$22/(WACC!$B$22+WACC!$B$24)+WACC!$B$19*(1-WACC!$B$17)*WACC!$B$24/(WACC!$B$22+WACC!$B$24)))^1.5+I91/(1+((0.055+1.3756*0.055)*WACC!$B$22/(WACC!$B$22+WACC!$B$24)+WACC!$B$19*(1-WACC!$B$17)*WACC!$B$24/(WACC!$B$22+WACC!$B$24)))^2.5+J91/(1+((0.055+1.3756*0.055)*WACC!$B$22/(WACC!$B$22+WACC!$B$24)+WACC!$B$19*(1-WACC!$B$17)*WACC!$B$24/(WACC!$B$22+WACC!$B$24)))^3.5+K91/(1+((0.055+1.3756*0.055)*WACC!$B$22/(WACC!$B$22+WACC!$B$24)+WACC!$B$19*(1-WACC!$B$17)*WACC!$B$24/(WACC!$B$22+WACC!$B$24)))^4.5+(K91*(1+$G$59)/(((0.055+1.3756*0.055)*WACC!$B$22/(WACC!$B$22+WACC!$B$24)+WACC!$B$19*(1-WACC!$B$17)*WACC!$B$24/(WACC!$B$22+WACC!$B$24))-$G$59))/(1+((0.055+1.3756*0.055)*WACC!$B$22/(WACC!$B$22+WACC!$B$24)+WACC!$B$19*(1-WACC!$B$17)*WACC!$B$24/(WACC!$B$22+WACC!$B$24)))^4.5-B13)/B11)</f>
        <v/>
      </c>
    </row>
    <row r="140">
      <c r="A140" s="68" t="n">
        <v>1.6</v>
      </c>
      <c r="B140" s="61">
        <f>IF(B11=0,0,(G91/(1+((0.04+1.6*0.055)*WACC!$B$22/(WACC!$B$22+WACC!$B$24)+WACC!$B$19*(1-WACC!$B$17)*WACC!$B$24/(WACC!$B$22+WACC!$B$24)))^0.5+H91/(1+((0.04+1.6*0.055)*WACC!$B$22/(WACC!$B$22+WACC!$B$24)+WACC!$B$19*(1-WACC!$B$17)*WACC!$B$24/(WACC!$B$22+WACC!$B$24)))^1.5+I91/(1+((0.04+1.6*0.055)*WACC!$B$22/(WACC!$B$22+WACC!$B$24)+WACC!$B$19*(1-WACC!$B$17)*WACC!$B$24/(WACC!$B$22+WACC!$B$24)))^2.5+J91/(1+((0.04+1.6*0.055)*WACC!$B$22/(WACC!$B$22+WACC!$B$24)+WACC!$B$19*(1-WACC!$B$17)*WACC!$B$24/(WACC!$B$22+WACC!$B$24)))^3.5+K91/(1+((0.04+1.6*0.055)*WACC!$B$22/(WACC!$B$22+WACC!$B$24)+WACC!$B$19*(1-WACC!$B$17)*WACC!$B$24/(WACC!$B$22+WACC!$B$24)))^4.5+(K91*(1+$G$59)/(((0.04+1.6*0.055)*WACC!$B$22/(WACC!$B$22+WACC!$B$24)+WACC!$B$19*(1-WACC!$B$17)*WACC!$B$24/(WACC!$B$22+WACC!$B$24))-$G$59))/(1+((0.04+1.6*0.055)*WACC!$B$22/(WACC!$B$22+WACC!$B$24)+WACC!$B$19*(1-WACC!$B$17)*WACC!$B$24/(WACC!$B$22+WACC!$B$24)))^4.5-B13)/B11)</f>
        <v/>
      </c>
      <c r="C140" s="61">
        <f>IF(B11=0,0,(G91/(1+((0.045+1.6*0.055)*WACC!$B$22/(WACC!$B$22+WACC!$B$24)+WACC!$B$19*(1-WACC!$B$17)*WACC!$B$24/(WACC!$B$22+WACC!$B$24)))^0.5+H91/(1+((0.045+1.6*0.055)*WACC!$B$22/(WACC!$B$22+WACC!$B$24)+WACC!$B$19*(1-WACC!$B$17)*WACC!$B$24/(WACC!$B$22+WACC!$B$24)))^1.5+I91/(1+((0.045+1.6*0.055)*WACC!$B$22/(WACC!$B$22+WACC!$B$24)+WACC!$B$19*(1-WACC!$B$17)*WACC!$B$24/(WACC!$B$22+WACC!$B$24)))^2.5+J91/(1+((0.045+1.6*0.055)*WACC!$B$22/(WACC!$B$22+WACC!$B$24)+WACC!$B$19*(1-WACC!$B$17)*WACC!$B$24/(WACC!$B$22+WACC!$B$24)))^3.5+K91/(1+((0.045+1.6*0.055)*WACC!$B$22/(WACC!$B$22+WACC!$B$24)+WACC!$B$19*(1-WACC!$B$17)*WACC!$B$24/(WACC!$B$22+WACC!$B$24)))^4.5+(K91*(1+$G$59)/(((0.045+1.6*0.055)*WACC!$B$22/(WACC!$B$22+WACC!$B$24)+WACC!$B$19*(1-WACC!$B$17)*WACC!$B$24/(WACC!$B$22+WACC!$B$24))-$G$59))/(1+((0.045+1.6*0.055)*WACC!$B$22/(WACC!$B$22+WACC!$B$24)+WACC!$B$19*(1-WACC!$B$17)*WACC!$B$24/(WACC!$B$22+WACC!$B$24)))^4.5-B13)/B11)</f>
        <v/>
      </c>
      <c r="D140" s="61">
        <f>IF(B11=0,0,(G91/(1+((0.0468+1.6*0.055)*WACC!$B$22/(WACC!$B$22+WACC!$B$24)+WACC!$B$19*(1-WACC!$B$17)*WACC!$B$24/(WACC!$B$22+WACC!$B$24)))^0.5+H91/(1+((0.0468+1.6*0.055)*WACC!$B$22/(WACC!$B$22+WACC!$B$24)+WACC!$B$19*(1-WACC!$B$17)*WACC!$B$24/(WACC!$B$22+WACC!$B$24)))^1.5+I91/(1+((0.0468+1.6*0.055)*WACC!$B$22/(WACC!$B$22+WACC!$B$24)+WACC!$B$19*(1-WACC!$B$17)*WACC!$B$24/(WACC!$B$22+WACC!$B$24)))^2.5+J91/(1+((0.0468+1.6*0.055)*WACC!$B$22/(WACC!$B$22+WACC!$B$24)+WACC!$B$19*(1-WACC!$B$17)*WACC!$B$24/(WACC!$B$22+WACC!$B$24)))^3.5+K91/(1+((0.0468+1.6*0.055)*WACC!$B$22/(WACC!$B$22+WACC!$B$24)+WACC!$B$19*(1-WACC!$B$17)*WACC!$B$24/(WACC!$B$22+WACC!$B$24)))^4.5+(K91*(1+$G$59)/(((0.0468+1.6*0.055)*WACC!$B$22/(WACC!$B$22+WACC!$B$24)+WACC!$B$19*(1-WACC!$B$17)*WACC!$B$24/(WACC!$B$22+WACC!$B$24))-$G$59))/(1+((0.0468+1.6*0.055)*WACC!$B$22/(WACC!$B$22+WACC!$B$24)+WACC!$B$19*(1-WACC!$B$17)*WACC!$B$24/(WACC!$B$22+WACC!$B$24)))^4.5-B13)/B11)</f>
        <v/>
      </c>
      <c r="E140" s="61">
        <f>IF(B11=0,0,(G91/(1+((0.05+1.6*0.055)*WACC!$B$22/(WACC!$B$22+WACC!$B$24)+WACC!$B$19*(1-WACC!$B$17)*WACC!$B$24/(WACC!$B$22+WACC!$B$24)))^0.5+H91/(1+((0.05+1.6*0.055)*WACC!$B$22/(WACC!$B$22+WACC!$B$24)+WACC!$B$19*(1-WACC!$B$17)*WACC!$B$24/(WACC!$B$22+WACC!$B$24)))^1.5+I91/(1+((0.05+1.6*0.055)*WACC!$B$22/(WACC!$B$22+WACC!$B$24)+WACC!$B$19*(1-WACC!$B$17)*WACC!$B$24/(WACC!$B$22+WACC!$B$24)))^2.5+J91/(1+((0.05+1.6*0.055)*WACC!$B$22/(WACC!$B$22+WACC!$B$24)+WACC!$B$19*(1-WACC!$B$17)*WACC!$B$24/(WACC!$B$22+WACC!$B$24)))^3.5+K91/(1+((0.05+1.6*0.055)*WACC!$B$22/(WACC!$B$22+WACC!$B$24)+WACC!$B$19*(1-WACC!$B$17)*WACC!$B$24/(WACC!$B$22+WACC!$B$24)))^4.5+(K91*(1+$G$59)/(((0.05+1.6*0.055)*WACC!$B$22/(WACC!$B$22+WACC!$B$24)+WACC!$B$19*(1-WACC!$B$17)*WACC!$B$24/(WACC!$B$22+WACC!$B$24))-$G$59))/(1+((0.05+1.6*0.055)*WACC!$B$22/(WACC!$B$22+WACC!$B$24)+WACC!$B$19*(1-WACC!$B$17)*WACC!$B$24/(WACC!$B$22+WACC!$B$24)))^4.5-B13)/B11)</f>
        <v/>
      </c>
      <c r="F140" s="62">
        <f>IF(B11=0,0,(G91/(1+((0.055+1.6*0.055)*WACC!$B$22/(WACC!$B$22+WACC!$B$24)+WACC!$B$19*(1-WACC!$B$17)*WACC!$B$24/(WACC!$B$22+WACC!$B$24)))^0.5+H91/(1+((0.055+1.6*0.055)*WACC!$B$22/(WACC!$B$22+WACC!$B$24)+WACC!$B$19*(1-WACC!$B$17)*WACC!$B$24/(WACC!$B$22+WACC!$B$24)))^1.5+I91/(1+((0.055+1.6*0.055)*WACC!$B$22/(WACC!$B$22+WACC!$B$24)+WACC!$B$19*(1-WACC!$B$17)*WACC!$B$24/(WACC!$B$22+WACC!$B$24)))^2.5+J91/(1+((0.055+1.6*0.055)*WACC!$B$22/(WACC!$B$22+WACC!$B$24)+WACC!$B$19*(1-WACC!$B$17)*WACC!$B$24/(WACC!$B$22+WACC!$B$24)))^3.5+K91/(1+((0.055+1.6*0.055)*WACC!$B$22/(WACC!$B$22+WACC!$B$24)+WACC!$B$19*(1-WACC!$B$17)*WACC!$B$24/(WACC!$B$22+WACC!$B$24)))^4.5+(K91*(1+$G$59)/(((0.055+1.6*0.055)*WACC!$B$22/(WACC!$B$22+WACC!$B$24)+WACC!$B$19*(1-WACC!$B$17)*WACC!$B$24/(WACC!$B$22+WACC!$B$24))-$G$59))/(1+((0.055+1.6*0.055)*WACC!$B$22/(WACC!$B$22+WACC!$B$24)+WACC!$B$19*(1-WACC!$B$17)*WACC!$B$24/(WACC!$B$22+WACC!$B$24)))^4.5-B13)/B11)</f>
        <v/>
      </c>
    </row>
    <row r="141">
      <c r="A141" s="69" t="n">
        <v>1.8</v>
      </c>
      <c r="B141" s="65">
        <f>IF(B11=0,0,(G91/(1+((0.04+1.8*0.055)*WACC!$B$22/(WACC!$B$22+WACC!$B$24)+WACC!$B$19*(1-WACC!$B$17)*WACC!$B$24/(WACC!$B$22+WACC!$B$24)))^0.5+H91/(1+((0.04+1.8*0.055)*WACC!$B$22/(WACC!$B$22+WACC!$B$24)+WACC!$B$19*(1-WACC!$B$17)*WACC!$B$24/(WACC!$B$22+WACC!$B$24)))^1.5+I91/(1+((0.04+1.8*0.055)*WACC!$B$22/(WACC!$B$22+WACC!$B$24)+WACC!$B$19*(1-WACC!$B$17)*WACC!$B$24/(WACC!$B$22+WACC!$B$24)))^2.5+J91/(1+((0.04+1.8*0.055)*WACC!$B$22/(WACC!$B$22+WACC!$B$24)+WACC!$B$19*(1-WACC!$B$17)*WACC!$B$24/(WACC!$B$22+WACC!$B$24)))^3.5+K91/(1+((0.04+1.8*0.055)*WACC!$B$22/(WACC!$B$22+WACC!$B$24)+WACC!$B$19*(1-WACC!$B$17)*WACC!$B$24/(WACC!$B$22+WACC!$B$24)))^4.5+(K91*(1+$G$59)/(((0.04+1.8*0.055)*WACC!$B$22/(WACC!$B$22+WACC!$B$24)+WACC!$B$19*(1-WACC!$B$17)*WACC!$B$24/(WACC!$B$22+WACC!$B$24))-$G$59))/(1+((0.04+1.8*0.055)*WACC!$B$22/(WACC!$B$22+WACC!$B$24)+WACC!$B$19*(1-WACC!$B$17)*WACC!$B$24/(WACC!$B$22+WACC!$B$24)))^4.5-B13)/B11)</f>
        <v/>
      </c>
      <c r="C141" s="65">
        <f>IF(B11=0,0,(G91/(1+((0.045+1.8*0.055)*WACC!$B$22/(WACC!$B$22+WACC!$B$24)+WACC!$B$19*(1-WACC!$B$17)*WACC!$B$24/(WACC!$B$22+WACC!$B$24)))^0.5+H91/(1+((0.045+1.8*0.055)*WACC!$B$22/(WACC!$B$22+WACC!$B$24)+WACC!$B$19*(1-WACC!$B$17)*WACC!$B$24/(WACC!$B$22+WACC!$B$24)))^1.5+I91/(1+((0.045+1.8*0.055)*WACC!$B$22/(WACC!$B$22+WACC!$B$24)+WACC!$B$19*(1-WACC!$B$17)*WACC!$B$24/(WACC!$B$22+WACC!$B$24)))^2.5+J91/(1+((0.045+1.8*0.055)*WACC!$B$22/(WACC!$B$22+WACC!$B$24)+WACC!$B$19*(1-WACC!$B$17)*WACC!$B$24/(WACC!$B$22+WACC!$B$24)))^3.5+K91/(1+((0.045+1.8*0.055)*WACC!$B$22/(WACC!$B$22+WACC!$B$24)+WACC!$B$19*(1-WACC!$B$17)*WACC!$B$24/(WACC!$B$22+WACC!$B$24)))^4.5+(K91*(1+$G$59)/(((0.045+1.8*0.055)*WACC!$B$22/(WACC!$B$22+WACC!$B$24)+WACC!$B$19*(1-WACC!$B$17)*WACC!$B$24/(WACC!$B$22+WACC!$B$24))-$G$59))/(1+((0.045+1.8*0.055)*WACC!$B$22/(WACC!$B$22+WACC!$B$24)+WACC!$B$19*(1-WACC!$B$17)*WACC!$B$24/(WACC!$B$22+WACC!$B$24)))^4.5-B13)/B11)</f>
        <v/>
      </c>
      <c r="D141" s="65">
        <f>IF(B11=0,0,(G91/(1+((0.0468+1.8*0.055)*WACC!$B$22/(WACC!$B$22+WACC!$B$24)+WACC!$B$19*(1-WACC!$B$17)*WACC!$B$24/(WACC!$B$22+WACC!$B$24)))^0.5+H91/(1+((0.0468+1.8*0.055)*WACC!$B$22/(WACC!$B$22+WACC!$B$24)+WACC!$B$19*(1-WACC!$B$17)*WACC!$B$24/(WACC!$B$22+WACC!$B$24)))^1.5+I91/(1+((0.0468+1.8*0.055)*WACC!$B$22/(WACC!$B$22+WACC!$B$24)+WACC!$B$19*(1-WACC!$B$17)*WACC!$B$24/(WACC!$B$22+WACC!$B$24)))^2.5+J91/(1+((0.0468+1.8*0.055)*WACC!$B$22/(WACC!$B$22+WACC!$B$24)+WACC!$B$19*(1-WACC!$B$17)*WACC!$B$24/(WACC!$B$22+WACC!$B$24)))^3.5+K91/(1+((0.0468+1.8*0.055)*WACC!$B$22/(WACC!$B$22+WACC!$B$24)+WACC!$B$19*(1-WACC!$B$17)*WACC!$B$24/(WACC!$B$22+WACC!$B$24)))^4.5+(K91*(1+$G$59)/(((0.0468+1.8*0.055)*WACC!$B$22/(WACC!$B$22+WACC!$B$24)+WACC!$B$19*(1-WACC!$B$17)*WACC!$B$24/(WACC!$B$22+WACC!$B$24))-$G$59))/(1+((0.0468+1.8*0.055)*WACC!$B$22/(WACC!$B$22+WACC!$B$24)+WACC!$B$19*(1-WACC!$B$17)*WACC!$B$24/(WACC!$B$22+WACC!$B$24)))^4.5-B13)/B11)</f>
        <v/>
      </c>
      <c r="E141" s="65">
        <f>IF(B11=0,0,(G91/(1+((0.05+1.8*0.055)*WACC!$B$22/(WACC!$B$22+WACC!$B$24)+WACC!$B$19*(1-WACC!$B$17)*WACC!$B$24/(WACC!$B$22+WACC!$B$24)))^0.5+H91/(1+((0.05+1.8*0.055)*WACC!$B$22/(WACC!$B$22+WACC!$B$24)+WACC!$B$19*(1-WACC!$B$17)*WACC!$B$24/(WACC!$B$22+WACC!$B$24)))^1.5+I91/(1+((0.05+1.8*0.055)*WACC!$B$22/(WACC!$B$22+WACC!$B$24)+WACC!$B$19*(1-WACC!$B$17)*WACC!$B$24/(WACC!$B$22+WACC!$B$24)))^2.5+J91/(1+((0.05+1.8*0.055)*WACC!$B$22/(WACC!$B$22+WACC!$B$24)+WACC!$B$19*(1-WACC!$B$17)*WACC!$B$24/(WACC!$B$22+WACC!$B$24)))^3.5+K91/(1+((0.05+1.8*0.055)*WACC!$B$22/(WACC!$B$22+WACC!$B$24)+WACC!$B$19*(1-WACC!$B$17)*WACC!$B$24/(WACC!$B$22+WACC!$B$24)))^4.5+(K91*(1+$G$59)/(((0.05+1.8*0.055)*WACC!$B$22/(WACC!$B$22+WACC!$B$24)+WACC!$B$19*(1-WACC!$B$17)*WACC!$B$24/(WACC!$B$22+WACC!$B$24))-$G$59))/(1+((0.05+1.8*0.055)*WACC!$B$22/(WACC!$B$22+WACC!$B$24)+WACC!$B$19*(1-WACC!$B$17)*WACC!$B$24/(WACC!$B$22+WACC!$B$24)))^4.5-B13)/B11)</f>
        <v/>
      </c>
      <c r="F141" s="66">
        <f>IF(B11=0,0,(G91/(1+((0.055+1.8*0.055)*WACC!$B$22/(WACC!$B$22+WACC!$B$24)+WACC!$B$19*(1-WACC!$B$17)*WACC!$B$24/(WACC!$B$22+WACC!$B$24)))^0.5+H91/(1+((0.055+1.8*0.055)*WACC!$B$22/(WACC!$B$22+WACC!$B$24)+WACC!$B$19*(1-WACC!$B$17)*WACC!$B$24/(WACC!$B$22+WACC!$B$24)))^1.5+I91/(1+((0.055+1.8*0.055)*WACC!$B$22/(WACC!$B$22+WACC!$B$24)+WACC!$B$19*(1-WACC!$B$17)*WACC!$B$24/(WACC!$B$22+WACC!$B$24)))^2.5+J91/(1+((0.055+1.8*0.055)*WACC!$B$22/(WACC!$B$22+WACC!$B$24)+WACC!$B$19*(1-WACC!$B$17)*WACC!$B$24/(WACC!$B$22+WACC!$B$24)))^3.5+K91/(1+((0.055+1.8*0.055)*WACC!$B$22/(WACC!$B$22+WACC!$B$24)+WACC!$B$19*(1-WACC!$B$17)*WACC!$B$24/(WACC!$B$22+WACC!$B$24)))^4.5+(K91*(1+$G$59)/(((0.055+1.8*0.055)*WACC!$B$22/(WACC!$B$22+WACC!$B$24)+WACC!$B$19*(1-WACC!$B$17)*WACC!$B$24/(WACC!$B$22+WACC!$B$24))-$G$59))/(1+((0.055+1.8*0.055)*WACC!$B$22/(WACC!$B$22+WACC!$B$24)+WACC!$B$19*(1-WACC!$B$17)*WACC!$B$24/(WACC!$B$22+WACC!$B$24)))^4.5-B13)/B11)</f>
        <v/>
      </c>
    </row>
  </sheetData>
  <mergeCells count="13">
    <mergeCell ref="A27:N27"/>
    <mergeCell ref="A8:N8"/>
    <mergeCell ref="A117:J117"/>
    <mergeCell ref="A39:N39"/>
    <mergeCell ref="A135:J135"/>
    <mergeCell ref="A62:N62"/>
    <mergeCell ref="A126:J126"/>
    <mergeCell ref="A15:N15"/>
    <mergeCell ref="A104:N104"/>
    <mergeCell ref="A81:N81"/>
    <mergeCell ref="A51:N51"/>
    <mergeCell ref="A99:N99"/>
    <mergeCell ref="A93:N93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4" customWidth="1" min="4" max="4"/>
  </cols>
  <sheetData>
    <row r="1">
      <c r="A1" s="70" t="inlineStr">
        <is>
          <t>Vital Farms (VITL) — WACC Calculation</t>
        </is>
      </c>
    </row>
    <row r="2">
      <c r="A2" s="2" t="inlineStr">
        <is>
          <t>Date: August 20, 2026  |  CAPM Methodology</t>
        </is>
      </c>
    </row>
    <row r="4">
      <c r="A4" s="6" t="inlineStr">
        <is>
          <t>COST OF EQUITY  —  CAPM</t>
        </is>
      </c>
      <c r="B4" s="7" t="n"/>
      <c r="C4" s="7" t="n"/>
      <c r="D4" s="8" t="n"/>
    </row>
    <row r="5">
      <c r="A5" s="71" t="inlineStr">
        <is>
          <t>Item</t>
        </is>
      </c>
      <c r="B5" s="72" t="inlineStr">
        <is>
          <t>Value</t>
        </is>
      </c>
      <c r="C5" s="72" t="inlineStr">
        <is>
          <t>Notes</t>
        </is>
      </c>
      <c r="D5" s="15" t="n"/>
    </row>
    <row r="6">
      <c r="A6" s="22" t="inlineStr">
        <is>
          <t>Risk-Free Rate (10Y US Treasury)</t>
        </is>
      </c>
      <c r="B6" s="73" t="n">
        <v>0.0468</v>
      </c>
      <c r="C6" s="74" t="inlineStr">
        <is>
          <t>FRED DGS10 — Aug 17 2026</t>
        </is>
      </c>
      <c r="D6" s="15" t="n"/>
    </row>
    <row r="7">
      <c r="A7" s="22" t="inlineStr">
        <is>
          <t>Beta (5-Year)</t>
        </is>
      </c>
      <c r="B7" s="75" t="n">
        <v>1.3756</v>
      </c>
      <c r="C7" s="74" t="inlineStr">
        <is>
          <t>GuruFocus, Aug 19 2026</t>
        </is>
      </c>
      <c r="D7" s="15" t="n"/>
    </row>
    <row r="8">
      <c r="A8" s="22" t="inlineStr">
        <is>
          <t>Equity Risk Premium (ERP)</t>
        </is>
      </c>
      <c r="B8" s="73" t="n">
        <v>0.055</v>
      </c>
      <c r="C8" s="74" t="inlineStr">
        <is>
          <t>Damodaran, 2026 US ERP</t>
        </is>
      </c>
      <c r="D8" s="15" t="n"/>
    </row>
    <row r="9">
      <c r="A9" s="36" t="inlineStr">
        <is>
          <t>Cost of Equity (CAPM)</t>
        </is>
      </c>
      <c r="B9" s="76">
        <f>B6+B7*B8</f>
        <v/>
      </c>
      <c r="C9" s="38">
        <f> Rf + β × ERP</f>
        <v/>
      </c>
      <c r="D9" s="21" t="n"/>
    </row>
    <row r="11">
      <c r="A11" s="6" t="inlineStr">
        <is>
          <t>COST OF DEBT</t>
        </is>
      </c>
      <c r="B11" s="7" t="n"/>
      <c r="C11" s="7" t="n"/>
      <c r="D11" s="8" t="n"/>
    </row>
    <row r="12">
      <c r="A12" s="71" t="inlineStr">
        <is>
          <t>Item</t>
        </is>
      </c>
      <c r="B12" s="72" t="inlineStr">
        <is>
          <t>Value</t>
        </is>
      </c>
      <c r="C12" s="14" t="n"/>
      <c r="D12" s="15" t="n"/>
    </row>
    <row r="13">
      <c r="A13" s="22" t="inlineStr">
        <is>
          <t>Pre-Tax Cost of Debt</t>
        </is>
      </c>
      <c r="B13" s="73" t="n">
        <v>0.08500000000000001</v>
      </c>
      <c r="C13" s="74" t="inlineStr">
        <is>
          <t>SOFR + spread estimate on new term loan</t>
        </is>
      </c>
      <c r="D13" s="15" t="n"/>
    </row>
    <row r="14">
      <c r="A14" s="22" t="inlineStr">
        <is>
          <t>Tax Rate (for debt shield)</t>
        </is>
      </c>
      <c r="B14" s="27">
        <f>DCF!$G$55</f>
        <v/>
      </c>
      <c r="C14" s="74" t="inlineStr">
        <is>
          <t>Linked from DCF sheet</t>
        </is>
      </c>
      <c r="D14" s="15" t="n"/>
    </row>
    <row r="15">
      <c r="A15" s="36" t="inlineStr">
        <is>
          <t>After-Tax Cost of Debt</t>
        </is>
      </c>
      <c r="B15" s="76">
        <f>B13*(1-B14)</f>
        <v/>
      </c>
      <c r="C15" s="38" t="n"/>
      <c r="D15" s="21" t="n"/>
    </row>
    <row r="17">
      <c r="A17" s="6" t="inlineStr">
        <is>
          <t>CAPITAL STRUCTURE</t>
        </is>
      </c>
      <c r="B17" s="7" t="n"/>
      <c r="C17" s="7" t="n"/>
      <c r="D17" s="8" t="n"/>
    </row>
    <row r="18">
      <c r="A18" s="71" t="inlineStr">
        <is>
          <t>Item</t>
        </is>
      </c>
      <c r="B18" s="72" t="inlineStr">
        <is>
          <t>Value</t>
        </is>
      </c>
      <c r="C18" s="14" t="n"/>
      <c r="D18" s="15" t="n"/>
    </row>
    <row r="19">
      <c r="A19" s="22" t="inlineStr">
        <is>
          <t>Pre-Tax Cost of Debt (ref)</t>
        </is>
      </c>
      <c r="B19" s="27">
        <f>B13</f>
        <v/>
      </c>
      <c r="C19" s="14" t="n"/>
      <c r="D19" s="15" t="n"/>
    </row>
    <row r="20">
      <c r="A20" s="22" t="inlineStr">
        <is>
          <t>Current Stock Price</t>
        </is>
      </c>
      <c r="B20" s="77">
        <f>DCF!$B$10</f>
        <v/>
      </c>
      <c r="C20" s="14" t="n"/>
      <c r="D20" s="15" t="n"/>
    </row>
    <row r="21">
      <c r="A21" s="22" t="inlineStr">
        <is>
          <t>Diluted Shares (M)</t>
        </is>
      </c>
      <c r="B21" s="78">
        <f>DCF!$B$11</f>
        <v/>
      </c>
      <c r="C21" s="14" t="n"/>
      <c r="D21" s="15" t="n"/>
    </row>
    <row r="22">
      <c r="A22" s="22" t="inlineStr">
        <is>
          <t>Market Capitalization ($M)</t>
        </is>
      </c>
      <c r="B22" s="51">
        <f>B20*B21</f>
        <v/>
      </c>
      <c r="C22" s="14" t="n"/>
      <c r="D22" s="15" t="n"/>
    </row>
    <row r="23">
      <c r="A23" s="22" t="inlineStr">
        <is>
          <t>Net Debt ($M)</t>
        </is>
      </c>
      <c r="B23" s="79">
        <f>DCF!$B$13</f>
        <v/>
      </c>
      <c r="C23" s="14" t="n"/>
      <c r="D23" s="15" t="n"/>
    </row>
    <row r="24">
      <c r="A24" s="22" t="inlineStr">
        <is>
          <t>Enterprise Value ($M)</t>
        </is>
      </c>
      <c r="B24" s="51">
        <f>B22+B23</f>
        <v/>
      </c>
      <c r="C24" s="14" t="n"/>
      <c r="D24" s="15" t="n"/>
    </row>
    <row r="25">
      <c r="A25" s="22" t="inlineStr">
        <is>
          <t>Equity Weight</t>
        </is>
      </c>
      <c r="B25" s="80">
        <f>IF(B24=0,1,B22/B24)</f>
        <v/>
      </c>
      <c r="C25" s="14" t="n"/>
      <c r="D25" s="15" t="n"/>
    </row>
    <row r="26">
      <c r="A26" s="24" t="inlineStr">
        <is>
          <t>Debt Weight</t>
        </is>
      </c>
      <c r="B26" s="81">
        <f>IF(B24=0,0,B23/B24)</f>
        <v/>
      </c>
      <c r="C26" s="20" t="n"/>
      <c r="D26" s="21" t="n"/>
    </row>
    <row r="27">
      <c r="A27" s="82" t="inlineStr">
        <is>
          <t>WEIGHTED AVG COST OF CAPITAL (WACC)</t>
        </is>
      </c>
      <c r="B27" s="83">
        <f>D30+D31</f>
        <v/>
      </c>
      <c r="C27" s="84" t="n"/>
      <c r="D27" s="85" t="n"/>
    </row>
    <row r="28">
      <c r="A28" s="6" t="inlineStr">
        <is>
          <t>WACC CALCULATION</t>
        </is>
      </c>
      <c r="B28" s="7" t="n"/>
      <c r="C28" s="7" t="n"/>
      <c r="D28" s="8" t="n"/>
    </row>
    <row r="29">
      <c r="A29" s="71" t="inlineStr"/>
      <c r="B29" s="72" t="inlineStr">
        <is>
          <t>Weight</t>
        </is>
      </c>
      <c r="C29" s="72" t="inlineStr">
        <is>
          <t>Cost</t>
        </is>
      </c>
      <c r="D29" s="86" t="inlineStr">
        <is>
          <t>Contribution</t>
        </is>
      </c>
    </row>
    <row r="30">
      <c r="A30" s="22" t="inlineStr">
        <is>
          <t>Equity</t>
        </is>
      </c>
      <c r="B30" s="80">
        <f>B25</f>
        <v/>
      </c>
      <c r="C30" s="80">
        <f>B9</f>
        <v/>
      </c>
      <c r="D30" s="87">
        <f>B30*C30</f>
        <v/>
      </c>
    </row>
    <row r="31">
      <c r="A31" s="24" t="inlineStr">
        <is>
          <t>Debt</t>
        </is>
      </c>
      <c r="B31" s="81">
        <f>B26</f>
        <v/>
      </c>
      <c r="C31" s="81">
        <f>B15</f>
        <v/>
      </c>
      <c r="D31" s="88">
        <f>B31*C31</f>
        <v/>
      </c>
    </row>
  </sheetData>
  <mergeCells count="4">
    <mergeCell ref="A28:D28"/>
    <mergeCell ref="A17:D17"/>
    <mergeCell ref="A4:D4"/>
    <mergeCell ref="A11:D1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2026-08-20T09:20:39Z</dcterms:created>
  <dcterms:modified xmlns:dcterms="http://purl.org/dc/terms/" xmlns:xsi="http://www.w3.org/2001/XMLSchema-instance" xsi:type="dcterms:W3CDTF">2026-08-20T09:20:39Z</dcterms:modified>
</cp:coreProperties>
</file>